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8390" windowHeight="11895" tabRatio="936" activeTab="1"/>
  </bookViews>
  <sheets>
    <sheet name="Button" sheetId="4" r:id="rId1"/>
    <sheet name="Summary" sheetId="5" r:id="rId2"/>
    <sheet name="Tally Report" sheetId="441" r:id="rId3"/>
    <sheet name="Business Rules" sheetId="1" r:id="rId4"/>
    <sheet name="Instrument Type Exclusion Table" sheetId="2" r:id="rId5"/>
    <sheet name="De Minimis Exclusion Table" sheetId="788" r:id="rId6"/>
    <sheet name="Risk Weighting Factor Table" sheetId="538" r:id="rId7"/>
    <sheet name="OECD CRC Rating Table" sheetId="544" r:id="rId8"/>
    <sheet name="GSE Issuer Table" sheetId="536" r:id="rId9"/>
    <sheet name="Bank Issuer Override Table" sheetId="537" r:id="rId10"/>
    <sheet name="Time to Maturity Table" sheetId="539" r:id="rId11"/>
    <sheet name="Market Status Table" sheetId="542" r:id="rId12"/>
    <sheet name="EBITDA-To-Asset Ratio Table" sheetId="541" r:id="rId13"/>
    <sheet name="Stock Volatility Table" sheetId="540" r:id="rId14"/>
    <sheet name="Credit Rating Table" sheetId="545" r:id="rId15"/>
    <sheet name="Month-End Market Holiday Table" sheetId="718" r:id="rId16"/>
    <sheet name="RAT Pershing Original" sheetId="895" r:id="rId17"/>
    <sheet name="RAT Pershing with BBG Formula" sheetId="896" r:id="rId18"/>
    <sheet name="RAT Pershing w BBG Data Values" sheetId="901" r:id="rId19"/>
    <sheet name="Countries of Origin of this RAT" sheetId="902" r:id="rId20"/>
    <sheet name="Possible GSE Issuer as Type I" sheetId="903" r:id="rId21"/>
    <sheet name="Financial Classified as Type VI" sheetId="904" r:id="rId22"/>
  </sheets>
  <definedNames>
    <definedName name="_xlnm._FilterDatabase" localSheetId="6" hidden="1">'Risk Weighting Factor Table'!$A$1:$I$96</definedName>
    <definedName name="RAT_Pershing_REG20140930" localSheetId="16">'RAT Pershing Original'!$A$1:$BQ$125</definedName>
  </definedNames>
  <calcPr calcId="145621"/>
</workbook>
</file>

<file path=xl/calcChain.xml><?xml version="1.0" encoding="utf-8"?>
<calcChain xmlns="http://schemas.openxmlformats.org/spreadsheetml/2006/main">
  <c r="F11" i="5" l="1"/>
  <c r="E11" i="5"/>
  <c r="C11" i="5"/>
  <c r="F10" i="5"/>
  <c r="E10" i="5"/>
  <c r="C10" i="5"/>
  <c r="F9" i="5"/>
  <c r="E9" i="5"/>
  <c r="C9" i="5"/>
  <c r="F8" i="5"/>
  <c r="E8" i="5"/>
  <c r="C8" i="5"/>
  <c r="F7" i="5"/>
  <c r="E7" i="5"/>
  <c r="C7" i="5"/>
  <c r="F6" i="5"/>
  <c r="E6" i="5"/>
  <c r="C6" i="5"/>
  <c r="F5" i="5"/>
  <c r="E5" i="5"/>
  <c r="C5" i="5"/>
  <c r="F4" i="5"/>
  <c r="E4" i="5"/>
  <c r="C4" i="5"/>
  <c r="F3" i="5"/>
  <c r="E3" i="5"/>
  <c r="C3" i="5"/>
  <c r="A3" i="5" l="1"/>
  <c r="CG6" i="896" l="1"/>
  <c r="CE8" i="896"/>
  <c r="CT9" i="896"/>
  <c r="CR11" i="896"/>
  <c r="CP13" i="896"/>
  <c r="CN15" i="896"/>
  <c r="CL17" i="896"/>
  <c r="CL6" i="896"/>
  <c r="CJ8" i="896"/>
  <c r="CH10" i="896"/>
  <c r="CF12" i="896"/>
  <c r="CD14" i="896"/>
  <c r="CF5" i="896"/>
  <c r="CD7" i="896"/>
  <c r="CS8" i="896"/>
  <c r="CQ10" i="896"/>
  <c r="CO12" i="896"/>
  <c r="CM14" i="896"/>
  <c r="CR6" i="896"/>
  <c r="CP8" i="896"/>
  <c r="CN10" i="896"/>
  <c r="CL12" i="896"/>
  <c r="CJ14" i="896"/>
  <c r="CP16" i="896"/>
  <c r="CS18" i="896"/>
  <c r="CQ20" i="896"/>
  <c r="CO22" i="896"/>
  <c r="CM24" i="896"/>
  <c r="CK26" i="896"/>
  <c r="CI28" i="896"/>
  <c r="CL15" i="896"/>
  <c r="CD18" i="896"/>
  <c r="CS19" i="896"/>
  <c r="CQ21" i="896"/>
  <c r="CO23" i="896"/>
  <c r="CM25" i="896"/>
  <c r="CK27" i="896"/>
  <c r="CS16" i="896"/>
  <c r="CD19" i="896"/>
  <c r="CS20" i="896"/>
  <c r="CQ22" i="896"/>
  <c r="CO24" i="896"/>
  <c r="CK6" i="896"/>
  <c r="CI8" i="896"/>
  <c r="CG10" i="896"/>
  <c r="CE12" i="896"/>
  <c r="CT13" i="896"/>
  <c r="CR15" i="896"/>
  <c r="CP17" i="896"/>
  <c r="CP6" i="896"/>
  <c r="CN8" i="896"/>
  <c r="CL10" i="896"/>
  <c r="CJ12" i="896"/>
  <c r="CH14" i="896"/>
  <c r="CJ5" i="896"/>
  <c r="CH7" i="896"/>
  <c r="CF9" i="896"/>
  <c r="CD11" i="896"/>
  <c r="CS12" i="896"/>
  <c r="CG5" i="896"/>
  <c r="CE7" i="896"/>
  <c r="CT8" i="896"/>
  <c r="CR10" i="896"/>
  <c r="CP12" i="896"/>
  <c r="CN14" i="896"/>
  <c r="CE17" i="896"/>
  <c r="CF19" i="896"/>
  <c r="CD21" i="896"/>
  <c r="CS22" i="896"/>
  <c r="CQ24" i="896"/>
  <c r="CO26" i="896"/>
  <c r="CM28" i="896"/>
  <c r="CS15" i="896"/>
  <c r="CH18" i="896"/>
  <c r="CF20" i="896"/>
  <c r="CD22" i="896"/>
  <c r="CS23" i="896"/>
  <c r="CQ25" i="896"/>
  <c r="CO27" i="896"/>
  <c r="CG17" i="896"/>
  <c r="CH19" i="896"/>
  <c r="CF21" i="896"/>
  <c r="CD23" i="896"/>
  <c r="CS24" i="896"/>
  <c r="CQ26" i="896"/>
  <c r="CI17" i="896"/>
  <c r="CI19" i="896"/>
  <c r="CG21" i="896"/>
  <c r="CE23" i="896"/>
  <c r="CT24" i="896"/>
  <c r="CR26" i="896"/>
  <c r="CO6" i="896"/>
  <c r="CM8" i="896"/>
  <c r="CK10" i="896"/>
  <c r="CI12" i="896"/>
  <c r="CG14" i="896"/>
  <c r="CE16" i="896"/>
  <c r="CE5" i="896"/>
  <c r="CT6" i="896"/>
  <c r="CR8" i="896"/>
  <c r="CP10" i="896"/>
  <c r="CN12" i="896"/>
  <c r="CL14" i="896"/>
  <c r="CN5" i="896"/>
  <c r="CL7" i="896"/>
  <c r="CJ9" i="896"/>
  <c r="CH11" i="896"/>
  <c r="CF13" i="896"/>
  <c r="CK5" i="896"/>
  <c r="CI7" i="896"/>
  <c r="CG9" i="896"/>
  <c r="CE11" i="896"/>
  <c r="CT12" i="896"/>
  <c r="CR14" i="896"/>
  <c r="CJ17" i="896"/>
  <c r="CJ19" i="896"/>
  <c r="CH21" i="896"/>
  <c r="CF23" i="896"/>
  <c r="CD25" i="896"/>
  <c r="CS26" i="896"/>
  <c r="CQ28" i="896"/>
  <c r="CG16" i="896"/>
  <c r="CL18" i="896"/>
  <c r="CJ20" i="896"/>
  <c r="CH22" i="896"/>
  <c r="CF24" i="896"/>
  <c r="CD26" i="896"/>
  <c r="CH5" i="896"/>
  <c r="CF7" i="896"/>
  <c r="CD9" i="896"/>
  <c r="CS10" i="896"/>
  <c r="CQ12" i="896"/>
  <c r="CO14" i="896"/>
  <c r="CM16" i="896"/>
  <c r="CM5" i="896"/>
  <c r="CK7" i="896"/>
  <c r="CI9" i="896"/>
  <c r="CG11" i="896"/>
  <c r="CE13" i="896"/>
  <c r="CT14" i="896"/>
  <c r="CE6" i="896"/>
  <c r="CT7" i="896"/>
  <c r="CR9" i="896"/>
  <c r="CP11" i="896"/>
  <c r="CN13" i="896"/>
  <c r="CS5" i="896"/>
  <c r="CQ7" i="896"/>
  <c r="CO9" i="896"/>
  <c r="CM11" i="896"/>
  <c r="CK13" i="896"/>
  <c r="CI15" i="896"/>
  <c r="CT17" i="896"/>
  <c r="CR19" i="896"/>
  <c r="CP21" i="896"/>
  <c r="CN23" i="896"/>
  <c r="CL25" i="896"/>
  <c r="CJ27" i="896"/>
  <c r="CH29" i="896"/>
  <c r="CR16" i="896"/>
  <c r="CT18" i="896"/>
  <c r="CR20" i="896"/>
  <c r="CP22" i="896"/>
  <c r="CN24" i="896"/>
  <c r="CL26" i="896"/>
  <c r="CM15" i="896"/>
  <c r="CE18" i="896"/>
  <c r="CT19" i="896"/>
  <c r="CR21" i="896"/>
  <c r="CP23" i="896"/>
  <c r="CL5" i="896"/>
  <c r="CJ7" i="896"/>
  <c r="CH9" i="896"/>
  <c r="CF11" i="896"/>
  <c r="CD13" i="896"/>
  <c r="CS14" i="896"/>
  <c r="CQ16" i="896"/>
  <c r="CQ5" i="896"/>
  <c r="CO7" i="896"/>
  <c r="CM9" i="896"/>
  <c r="CK11" i="896"/>
  <c r="CI13" i="896"/>
  <c r="CG15" i="896"/>
  <c r="CI6" i="896"/>
  <c r="CG8" i="896"/>
  <c r="CE10" i="896"/>
  <c r="CT11" i="896"/>
  <c r="CR13" i="896"/>
  <c r="CF6" i="896"/>
  <c r="CD8" i="896"/>
  <c r="CS9" i="896"/>
  <c r="CQ11" i="896"/>
  <c r="CO13" i="896"/>
  <c r="CQ15" i="896"/>
  <c r="CG18" i="896"/>
  <c r="CE20" i="896"/>
  <c r="CT21" i="896"/>
  <c r="CR23" i="896"/>
  <c r="CP25" i="896"/>
  <c r="CN27" i="896"/>
  <c r="CL29" i="896"/>
  <c r="CF17" i="896"/>
  <c r="CG19" i="896"/>
  <c r="CE21" i="896"/>
  <c r="CT22" i="896"/>
  <c r="CR24" i="896"/>
  <c r="CP26" i="896"/>
  <c r="CT15" i="896"/>
  <c r="CI18" i="896"/>
  <c r="CG20" i="896"/>
  <c r="CE22" i="896"/>
  <c r="CT23" i="896"/>
  <c r="CR25" i="896"/>
  <c r="CD16" i="896"/>
  <c r="CJ18" i="896"/>
  <c r="CH20" i="896"/>
  <c r="CF22" i="896"/>
  <c r="CD24" i="896"/>
  <c r="CS25" i="896"/>
  <c r="CP5" i="896"/>
  <c r="CN7" i="896"/>
  <c r="CL9" i="896"/>
  <c r="CJ11" i="896"/>
  <c r="CH13" i="896"/>
  <c r="CF15" i="896"/>
  <c r="CD17" i="896"/>
  <c r="CD6" i="896"/>
  <c r="CS7" i="896"/>
  <c r="CQ9" i="896"/>
  <c r="CO11" i="896"/>
  <c r="CM13" i="896"/>
  <c r="CK15" i="896"/>
  <c r="CM6" i="896"/>
  <c r="CK8" i="896"/>
  <c r="CI10" i="896"/>
  <c r="CG12" i="896"/>
  <c r="CE14" i="896"/>
  <c r="CJ6" i="896"/>
  <c r="CH8" i="896"/>
  <c r="CF10" i="896"/>
  <c r="CD12" i="896"/>
  <c r="CS13" i="896"/>
  <c r="CF16" i="896"/>
  <c r="CK18" i="896"/>
  <c r="CI20" i="896"/>
  <c r="CG22" i="896"/>
  <c r="CE24" i="896"/>
  <c r="CT25" i="896"/>
  <c r="CR27" i="896"/>
  <c r="CP29" i="896"/>
  <c r="CK17" i="896"/>
  <c r="CI21" i="896"/>
  <c r="CE25" i="896"/>
  <c r="CS27" i="896"/>
  <c r="CM17" i="896"/>
  <c r="CL19" i="896"/>
  <c r="CJ21" i="896"/>
  <c r="CH23" i="896"/>
  <c r="CF25" i="896"/>
  <c r="CD27" i="896"/>
  <c r="CN17" i="896"/>
  <c r="CM19" i="896"/>
  <c r="CK21" i="896"/>
  <c r="CI23" i="896"/>
  <c r="CG25" i="896"/>
  <c r="CE27" i="896"/>
  <c r="CF29" i="896"/>
  <c r="CG31" i="896"/>
  <c r="CE33" i="896"/>
  <c r="CT34" i="896"/>
  <c r="CR36" i="896"/>
  <c r="CP38" i="896"/>
  <c r="CN40" i="896"/>
  <c r="CL42" i="896"/>
  <c r="CH28" i="896"/>
  <c r="CM30" i="896"/>
  <c r="CK32" i="896"/>
  <c r="CI34" i="896"/>
  <c r="CG36" i="896"/>
  <c r="CE38" i="896"/>
  <c r="CD5" i="896"/>
  <c r="CS6" i="896"/>
  <c r="CQ8" i="896"/>
  <c r="CO10" i="896"/>
  <c r="CM12" i="896"/>
  <c r="CK14" i="896"/>
  <c r="CI16" i="896"/>
  <c r="CI5" i="896"/>
  <c r="CG7" i="896"/>
  <c r="CE9" i="896"/>
  <c r="CT10" i="896"/>
  <c r="CR12" i="896"/>
  <c r="CP14" i="896"/>
  <c r="CR5" i="896"/>
  <c r="CP7" i="896"/>
  <c r="CN9" i="896"/>
  <c r="CL11" i="896"/>
  <c r="CJ13" i="896"/>
  <c r="CO5" i="896"/>
  <c r="CM7" i="896"/>
  <c r="CK9" i="896"/>
  <c r="CI11" i="896"/>
  <c r="CG13" i="896"/>
  <c r="CQ14" i="896"/>
  <c r="CO17" i="896"/>
  <c r="CN19" i="896"/>
  <c r="CL21" i="896"/>
  <c r="CJ23" i="896"/>
  <c r="CH25" i="896"/>
  <c r="CF27" i="896"/>
  <c r="CD29" i="896"/>
  <c r="CL16" i="896"/>
  <c r="CP18" i="896"/>
  <c r="CN20" i="896"/>
  <c r="CL22" i="896"/>
  <c r="CJ24" i="896"/>
  <c r="CH26" i="896"/>
  <c r="CE15" i="896"/>
  <c r="CR17" i="896"/>
  <c r="CP19" i="896"/>
  <c r="CN21" i="896"/>
  <c r="CL23" i="896"/>
  <c r="CJ25" i="896"/>
  <c r="CH15" i="896"/>
  <c r="CS17" i="896"/>
  <c r="CQ19" i="896"/>
  <c r="CO21" i="896"/>
  <c r="CM23" i="896"/>
  <c r="CK25" i="896"/>
  <c r="CI27" i="896"/>
  <c r="CK29" i="896"/>
  <c r="CK31" i="896"/>
  <c r="CI33" i="896"/>
  <c r="CG35" i="896"/>
  <c r="CE37" i="896"/>
  <c r="CT38" i="896"/>
  <c r="CR40" i="896"/>
  <c r="CP42" i="896"/>
  <c r="CN28" i="896"/>
  <c r="CQ30" i="896"/>
  <c r="CO32" i="896"/>
  <c r="CM34" i="896"/>
  <c r="CK36" i="896"/>
  <c r="CI38" i="896"/>
  <c r="CF18" i="896"/>
  <c r="CO25" i="896"/>
  <c r="CP30" i="896"/>
  <c r="CL34" i="896"/>
  <c r="CH38" i="896"/>
  <c r="CD42" i="896"/>
  <c r="CE30" i="896"/>
  <c r="CR33" i="896"/>
  <c r="CN37" i="896"/>
  <c r="CG40" i="896"/>
  <c r="CJ28" i="896"/>
  <c r="CN30" i="896"/>
  <c r="CL32" i="896"/>
  <c r="CJ34" i="896"/>
  <c r="CH36" i="896"/>
  <c r="CF38" i="896"/>
  <c r="CD40" i="896"/>
  <c r="CO29" i="896"/>
  <c r="CN31" i="896"/>
  <c r="CL33" i="896"/>
  <c r="CJ35" i="896"/>
  <c r="CH37" i="896"/>
  <c r="CF39" i="896"/>
  <c r="CL40" i="896"/>
  <c r="CL43" i="896"/>
  <c r="CI42" i="896"/>
  <c r="CP41" i="896"/>
  <c r="CR41" i="896"/>
  <c r="CF4" i="896"/>
  <c r="CS4" i="896"/>
  <c r="CP15" i="896"/>
  <c r="CI37" i="896"/>
  <c r="CS32" i="896"/>
  <c r="CP27" i="896"/>
  <c r="CS33" i="896"/>
  <c r="CK19" i="896"/>
  <c r="CG23" i="896"/>
  <c r="CT26" i="896"/>
  <c r="CH16" i="896"/>
  <c r="CM18" i="896"/>
  <c r="CK20" i="896"/>
  <c r="CI22" i="896"/>
  <c r="CG24" i="896"/>
  <c r="CE26" i="896"/>
  <c r="CJ16" i="896"/>
  <c r="CN18" i="896"/>
  <c r="CL20" i="896"/>
  <c r="CJ22" i="896"/>
  <c r="CH24" i="896"/>
  <c r="CF26" i="896"/>
  <c r="CH27" i="896"/>
  <c r="CH30" i="896"/>
  <c r="CF32" i="896"/>
  <c r="CD34" i="896"/>
  <c r="CS35" i="896"/>
  <c r="CQ37" i="896"/>
  <c r="CO39" i="896"/>
  <c r="CM41" i="896"/>
  <c r="CK43" i="896"/>
  <c r="CM29" i="896"/>
  <c r="CL31" i="896"/>
  <c r="CJ33" i="896"/>
  <c r="CH35" i="896"/>
  <c r="CF37" i="896"/>
  <c r="CD39" i="896"/>
  <c r="CT5" i="896"/>
  <c r="CR7" i="896"/>
  <c r="CP9" i="896"/>
  <c r="CN11" i="896"/>
  <c r="CL13" i="896"/>
  <c r="CJ15" i="896"/>
  <c r="CH17" i="896"/>
  <c r="CH6" i="896"/>
  <c r="CF8" i="896"/>
  <c r="CD10" i="896"/>
  <c r="CS11" i="896"/>
  <c r="CQ13" i="896"/>
  <c r="CO15" i="896"/>
  <c r="CQ6" i="896"/>
  <c r="CO8" i="896"/>
  <c r="CM10" i="896"/>
  <c r="CK12" i="896"/>
  <c r="CI14" i="896"/>
  <c r="CN6" i="896"/>
  <c r="CL8" i="896"/>
  <c r="CJ10" i="896"/>
  <c r="CH12" i="896"/>
  <c r="CF14" i="896"/>
  <c r="CK16" i="896"/>
  <c r="CO18" i="896"/>
  <c r="CM20" i="896"/>
  <c r="CK22" i="896"/>
  <c r="CI24" i="896"/>
  <c r="CG26" i="896"/>
  <c r="CE28" i="896"/>
  <c r="CD15" i="896"/>
  <c r="CQ17" i="896"/>
  <c r="CO19" i="896"/>
  <c r="CM21" i="896"/>
  <c r="CK23" i="896"/>
  <c r="CI25" i="896"/>
  <c r="CG27" i="896"/>
  <c r="CN16" i="896"/>
  <c r="CQ18" i="896"/>
  <c r="CO20" i="896"/>
  <c r="CM22" i="896"/>
  <c r="CK24" i="896"/>
  <c r="CI26" i="896"/>
  <c r="CO16" i="896"/>
  <c r="CR18" i="896"/>
  <c r="CP20" i="896"/>
  <c r="CN22" i="896"/>
  <c r="CL24" i="896"/>
  <c r="CJ26" i="896"/>
  <c r="CG28" i="896"/>
  <c r="CL30" i="896"/>
  <c r="CJ32" i="896"/>
  <c r="CH34" i="896"/>
  <c r="CF36" i="896"/>
  <c r="CD38" i="896"/>
  <c r="CS39" i="896"/>
  <c r="CQ41" i="896"/>
  <c r="CO43" i="896"/>
  <c r="CR29" i="896"/>
  <c r="CP31" i="896"/>
  <c r="CN33" i="896"/>
  <c r="CL35" i="896"/>
  <c r="CJ37" i="896"/>
  <c r="CN25" i="896"/>
  <c r="CS21" i="896"/>
  <c r="CL28" i="896"/>
  <c r="CN32" i="896"/>
  <c r="CJ36" i="896"/>
  <c r="CF40" i="896"/>
  <c r="CS43" i="896"/>
  <c r="CT31" i="896"/>
  <c r="CP35" i="896"/>
  <c r="CH39" i="896"/>
  <c r="CF41" i="896"/>
  <c r="CN29" i="896"/>
  <c r="CM31" i="896"/>
  <c r="CK33" i="896"/>
  <c r="CI35" i="896"/>
  <c r="CG37" i="896"/>
  <c r="CE39" i="896"/>
  <c r="CK28" i="896"/>
  <c r="CO30" i="896"/>
  <c r="CM32" i="896"/>
  <c r="CK34" i="896"/>
  <c r="CI36" i="896"/>
  <c r="CG38" i="896"/>
  <c r="CE40" i="896"/>
  <c r="CG42" i="896"/>
  <c r="CP40" i="896"/>
  <c r="CM43" i="896"/>
  <c r="CD43" i="896"/>
  <c r="CE43" i="896"/>
  <c r="CM4" i="896"/>
  <c r="CE4" i="896"/>
  <c r="CO31" i="896"/>
  <c r="CT42" i="896"/>
  <c r="CM38" i="896"/>
  <c r="CE31" i="896"/>
  <c r="CM39" i="896"/>
  <c r="CD33" i="896"/>
  <c r="CO38" i="896"/>
  <c r="CO41" i="896"/>
  <c r="CP43" i="896"/>
  <c r="CM26" i="896"/>
  <c r="CR22" i="896"/>
  <c r="CR28" i="896"/>
  <c r="CR32" i="896"/>
  <c r="CN36" i="896"/>
  <c r="CJ40" i="896"/>
  <c r="CL27" i="896"/>
  <c r="CG32" i="896"/>
  <c r="CT35" i="896"/>
  <c r="CL39" i="896"/>
  <c r="CJ41" i="896"/>
  <c r="CS29" i="896"/>
  <c r="CQ31" i="896"/>
  <c r="CO33" i="896"/>
  <c r="CM35" i="896"/>
  <c r="CK37" i="896"/>
  <c r="CI39" i="896"/>
  <c r="CP28" i="896"/>
  <c r="CS30" i="896"/>
  <c r="CQ32" i="896"/>
  <c r="CO34" i="896"/>
  <c r="CM36" i="896"/>
  <c r="CK38" i="896"/>
  <c r="CI40" i="896"/>
  <c r="CM42" i="896"/>
  <c r="CH41" i="896"/>
  <c r="CT43" i="896"/>
  <c r="CI43" i="896"/>
  <c r="CJ43" i="896"/>
  <c r="CG4" i="896"/>
  <c r="CQ4" i="896"/>
  <c r="CM27" i="896"/>
  <c r="CG39" i="896"/>
  <c r="CQ34" i="896"/>
  <c r="CT28" i="896"/>
  <c r="CR34" i="896"/>
  <c r="CE29" i="896"/>
  <c r="CS34" i="896"/>
  <c r="CM40" i="896"/>
  <c r="CT40" i="896"/>
  <c r="CK4" i="896"/>
  <c r="CT20" i="896"/>
  <c r="CQ27" i="896"/>
  <c r="CS31" i="896"/>
  <c r="CO35" i="896"/>
  <c r="CK39" i="896"/>
  <c r="CG43" i="896"/>
  <c r="CH31" i="896"/>
  <c r="CD35" i="896"/>
  <c r="CQ38" i="896"/>
  <c r="CS40" i="896"/>
  <c r="CI29" i="896"/>
  <c r="CI31" i="896"/>
  <c r="CG33" i="896"/>
  <c r="CE35" i="896"/>
  <c r="CT36" i="896"/>
  <c r="CR38" i="896"/>
  <c r="CF28" i="896"/>
  <c r="CK30" i="896"/>
  <c r="CI32" i="896"/>
  <c r="CG34" i="896"/>
  <c r="CE36" i="896"/>
  <c r="CT37" i="896"/>
  <c r="CR39" i="896"/>
  <c r="CS41" i="896"/>
  <c r="CN43" i="896"/>
  <c r="CH43" i="896"/>
  <c r="CO42" i="896"/>
  <c r="CQ42" i="896"/>
  <c r="CR4" i="896"/>
  <c r="CT4" i="896"/>
  <c r="CQ23" i="896"/>
  <c r="CK35" i="896"/>
  <c r="CD31" i="896"/>
  <c r="CO40" i="896"/>
  <c r="CT32" i="896"/>
  <c r="CO37" i="896"/>
  <c r="CF31" i="896"/>
  <c r="CQ36" i="896"/>
  <c r="CR42" i="896"/>
  <c r="CD41" i="896"/>
  <c r="CH4" i="896"/>
  <c r="CP36" i="896"/>
  <c r="CG30" i="896"/>
  <c r="CR35" i="896"/>
  <c r="CN41" i="896"/>
  <c r="CJ42" i="896"/>
  <c r="CP4" i="896"/>
  <c r="CE19" i="896"/>
  <c r="CN26" i="896"/>
  <c r="CT30" i="896"/>
  <c r="CP34" i="896"/>
  <c r="CL38" i="896"/>
  <c r="CH42" i="896"/>
  <c r="CI30" i="896"/>
  <c r="CE34" i="896"/>
  <c r="CR37" i="896"/>
  <c r="CK40" i="896"/>
  <c r="CO28" i="896"/>
  <c r="CR30" i="896"/>
  <c r="CP32" i="896"/>
  <c r="CN34" i="896"/>
  <c r="CL36" i="896"/>
  <c r="CJ38" i="896"/>
  <c r="CH40" i="896"/>
  <c r="CT29" i="896"/>
  <c r="CR31" i="896"/>
  <c r="CP33" i="896"/>
  <c r="CN35" i="896"/>
  <c r="CL37" i="896"/>
  <c r="CJ39" i="896"/>
  <c r="CG41" i="896"/>
  <c r="CQ43" i="896"/>
  <c r="CN42" i="896"/>
  <c r="CE42" i="896"/>
  <c r="CF42" i="896"/>
  <c r="CJ4" i="896"/>
  <c r="CL4" i="896"/>
  <c r="CD20" i="896"/>
  <c r="CM33" i="896"/>
  <c r="CS28" i="896"/>
  <c r="CP39" i="896"/>
  <c r="CD32" i="896"/>
  <c r="CN38" i="896"/>
  <c r="CE32" i="896"/>
  <c r="CP37" i="896"/>
  <c r="CR43" i="896"/>
  <c r="CK42" i="896"/>
  <c r="CT16" i="896"/>
  <c r="CP24" i="896"/>
  <c r="CD30" i="896"/>
  <c r="CQ33" i="896"/>
  <c r="CM37" i="896"/>
  <c r="CI41" i="896"/>
  <c r="CG29" i="896"/>
  <c r="CF33" i="896"/>
  <c r="CS36" i="896"/>
  <c r="CT39" i="896"/>
  <c r="CD28" i="896"/>
  <c r="CJ30" i="896"/>
  <c r="CH32" i="896"/>
  <c r="CF34" i="896"/>
  <c r="CD36" i="896"/>
  <c r="CS37" i="896"/>
  <c r="CQ39" i="896"/>
  <c r="CJ29" i="896"/>
  <c r="CJ31" i="896"/>
  <c r="CH33" i="896"/>
  <c r="CF35" i="896"/>
  <c r="CD37" i="896"/>
  <c r="CS38" i="896"/>
  <c r="CQ40" i="896"/>
  <c r="CF43" i="896"/>
  <c r="CT41" i="896"/>
  <c r="CK41" i="896"/>
  <c r="CL41" i="896"/>
  <c r="CI4" i="896"/>
  <c r="CO4" i="896"/>
  <c r="CD4" i="896"/>
  <c r="CQ29" i="896"/>
  <c r="CE41" i="896"/>
  <c r="CO36" i="896"/>
  <c r="CF30" i="896"/>
  <c r="CQ35" i="896"/>
  <c r="CT27" i="896"/>
  <c r="CT33" i="896"/>
  <c r="CN39" i="896"/>
  <c r="CS42" i="896"/>
  <c r="CN4" i="896"/>
  <c r="DA33" i="896"/>
  <c r="CZ33" i="896"/>
  <c r="CX33" i="896"/>
  <c r="DD33" i="896"/>
  <c r="CW33" i="896"/>
  <c r="CU33" i="896"/>
  <c r="DC33" i="896"/>
  <c r="CY33" i="896"/>
  <c r="CX27" i="896"/>
  <c r="DA27" i="896"/>
  <c r="CY27" i="896"/>
  <c r="CU27" i="896"/>
  <c r="DI27" i="896"/>
  <c r="CV27" i="896"/>
  <c r="DD27" i="896"/>
  <c r="CZ27" i="896"/>
  <c r="DJ41" i="896"/>
  <c r="DD41" i="896"/>
  <c r="DF41" i="896"/>
  <c r="DI41" i="896"/>
  <c r="DE41" i="896"/>
  <c r="CU41" i="896"/>
  <c r="DC41" i="896"/>
  <c r="CY41" i="896"/>
  <c r="CY39" i="896"/>
  <c r="DB39" i="896"/>
  <c r="CV39" i="896"/>
  <c r="DF39" i="896"/>
  <c r="CU39" i="896"/>
  <c r="CW39" i="896"/>
  <c r="DE39" i="896"/>
  <c r="DA39" i="896"/>
  <c r="DB16" i="896"/>
  <c r="DA16" i="896"/>
  <c r="DI16" i="896"/>
  <c r="CY16" i="896"/>
  <c r="CV16" i="896"/>
  <c r="DH16" i="896"/>
  <c r="CU16" i="896"/>
  <c r="DE16" i="896"/>
  <c r="DA29" i="896"/>
  <c r="CZ29" i="896"/>
  <c r="CX29" i="896"/>
  <c r="DD29" i="896"/>
  <c r="CW29" i="896"/>
  <c r="CU29" i="896"/>
  <c r="DC29" i="896"/>
  <c r="CY29" i="896"/>
  <c r="CV30" i="896"/>
  <c r="CY30" i="896"/>
  <c r="CW30" i="896"/>
  <c r="DB30" i="896"/>
  <c r="DE30" i="896"/>
  <c r="CX30" i="896"/>
  <c r="DJ30" i="896"/>
  <c r="CZ30" i="896"/>
  <c r="DB32" i="896"/>
  <c r="DA32" i="896"/>
  <c r="CU32" i="896"/>
  <c r="DE32" i="896"/>
  <c r="CX32" i="896"/>
  <c r="CV32" i="896"/>
  <c r="DD32" i="896"/>
  <c r="CZ32" i="896"/>
  <c r="DA4" i="896"/>
  <c r="CY4" i="896"/>
  <c r="CU4" i="896"/>
  <c r="CW4" i="896"/>
  <c r="DC4" i="896"/>
  <c r="DI4" i="896"/>
  <c r="DF4" i="896"/>
  <c r="DE4" i="896"/>
  <c r="DA37" i="896"/>
  <c r="CZ37" i="896"/>
  <c r="CX37" i="896"/>
  <c r="DD37" i="896"/>
  <c r="CW37" i="896"/>
  <c r="CU37" i="896"/>
  <c r="DC37" i="896"/>
  <c r="CY37" i="896"/>
  <c r="DB36" i="896"/>
  <c r="DA36" i="896"/>
  <c r="CU36" i="896"/>
  <c r="DE36" i="896"/>
  <c r="CX36" i="896"/>
  <c r="CV36" i="896"/>
  <c r="DD36" i="896"/>
  <c r="CZ36" i="896"/>
  <c r="CW20" i="896"/>
  <c r="CZ20" i="896"/>
  <c r="CX20" i="896"/>
  <c r="CY20" i="896"/>
  <c r="DB20" i="896"/>
  <c r="DA20" i="896"/>
  <c r="CU20" i="896"/>
  <c r="DF20" i="896"/>
  <c r="DF40" i="896"/>
  <c r="DA40" i="896"/>
  <c r="DB40" i="896"/>
  <c r="DE40" i="896"/>
  <c r="CX40" i="896"/>
  <c r="CV40" i="896"/>
  <c r="DD40" i="896"/>
  <c r="CZ40" i="896"/>
  <c r="DI28" i="896"/>
  <c r="DB28" i="896"/>
  <c r="DJ28" i="896"/>
  <c r="DH28" i="896"/>
  <c r="DD28" i="896"/>
  <c r="CU28" i="896"/>
  <c r="DC28" i="896"/>
  <c r="CY28" i="896"/>
  <c r="CZ43" i="896"/>
  <c r="DB43" i="896"/>
  <c r="CU43" i="896"/>
  <c r="DG43" i="896"/>
  <c r="DD43" i="896"/>
  <c r="CW43" i="896"/>
  <c r="DE43" i="896"/>
  <c r="DA43" i="896"/>
  <c r="CY35" i="896"/>
  <c r="DB35" i="896"/>
  <c r="CV35" i="896"/>
  <c r="DF35" i="896"/>
  <c r="CU35" i="896"/>
  <c r="DE35" i="896"/>
  <c r="DA35" i="896"/>
  <c r="CW35" i="896"/>
  <c r="DD42" i="896"/>
  <c r="DC42" i="896"/>
  <c r="DE42" i="896"/>
  <c r="DB42" i="896"/>
  <c r="DA42" i="896"/>
  <c r="CX42" i="896"/>
  <c r="DJ42" i="896"/>
  <c r="DI42" i="896"/>
  <c r="CY31" i="896"/>
  <c r="DB31" i="896"/>
  <c r="CV31" i="896"/>
  <c r="CU31" i="896"/>
  <c r="DA31" i="896"/>
  <c r="DE31" i="896"/>
  <c r="DD31" i="896"/>
  <c r="CW31" i="896"/>
  <c r="DB5" i="896"/>
  <c r="CW5" i="896"/>
  <c r="DH5" i="896"/>
  <c r="DC5" i="896"/>
  <c r="CX5" i="896"/>
  <c r="CV5" i="896"/>
  <c r="CU5" i="896"/>
  <c r="DI5" i="896"/>
  <c r="CU26" i="896"/>
  <c r="CV26" i="896"/>
  <c r="DA26" i="896"/>
  <c r="CX26" i="896"/>
  <c r="DB26" i="896"/>
  <c r="CW26" i="896"/>
  <c r="DD26" i="896"/>
  <c r="CY26" i="896"/>
  <c r="CV38" i="896"/>
  <c r="CY38" i="896"/>
  <c r="CW38" i="896"/>
  <c r="DB38" i="896"/>
  <c r="DA38" i="896"/>
  <c r="CX38" i="896"/>
  <c r="DE38" i="896"/>
  <c r="CZ38" i="896"/>
  <c r="DA10" i="896"/>
  <c r="CV10" i="896"/>
  <c r="DJ10" i="896"/>
  <c r="DF10" i="896"/>
  <c r="CW10" i="896"/>
  <c r="CU10" i="896"/>
  <c r="CZ10" i="896"/>
  <c r="DH10" i="896"/>
  <c r="CV34" i="896"/>
  <c r="CW34" i="896"/>
  <c r="DB34" i="896"/>
  <c r="CU34" i="896"/>
  <c r="CY34" i="896"/>
  <c r="CX34" i="896"/>
  <c r="DE34" i="896"/>
  <c r="CZ34" i="896"/>
  <c r="CV25" i="896"/>
  <c r="CW25" i="896"/>
  <c r="DB25" i="896"/>
  <c r="DA25" i="896"/>
  <c r="CY25" i="896"/>
  <c r="CX25" i="896"/>
  <c r="DE25" i="896"/>
  <c r="CZ25" i="896"/>
  <c r="CX23" i="896"/>
  <c r="CU23" i="896"/>
  <c r="CZ23" i="896"/>
  <c r="DC23" i="896"/>
  <c r="DA23" i="896"/>
  <c r="CV23" i="896"/>
  <c r="DH23" i="896"/>
  <c r="DB23" i="896"/>
  <c r="DC15" i="896"/>
  <c r="DJ15" i="896"/>
  <c r="CZ15" i="896"/>
  <c r="CU15" i="896"/>
  <c r="DB15" i="896"/>
  <c r="CV15" i="896"/>
  <c r="DA15" i="896"/>
  <c r="DI15" i="896"/>
  <c r="CU22" i="896"/>
  <c r="CV22" i="896"/>
  <c r="DA22" i="896"/>
  <c r="DD22" i="896"/>
  <c r="DB22" i="896"/>
  <c r="CW22" i="896"/>
  <c r="DI22" i="896"/>
  <c r="CY22" i="896"/>
  <c r="CV21" i="896"/>
  <c r="CW21" i="896"/>
  <c r="DB21" i="896"/>
  <c r="CU21" i="896"/>
  <c r="CY21" i="896"/>
  <c r="CX21" i="896"/>
  <c r="DE21" i="896"/>
  <c r="CZ21" i="896"/>
  <c r="DA11" i="896"/>
  <c r="CU11" i="896"/>
  <c r="CW11" i="896"/>
  <c r="CY11" i="896"/>
  <c r="DC11" i="896"/>
  <c r="DG11" i="896"/>
  <c r="DE11" i="896"/>
  <c r="CZ11" i="896"/>
  <c r="CX19" i="896"/>
  <c r="CU19" i="896"/>
  <c r="CZ19" i="896"/>
  <c r="CY19" i="896"/>
  <c r="DI19" i="896"/>
  <c r="DF19" i="896"/>
  <c r="DE19" i="896"/>
  <c r="DJ19" i="896"/>
  <c r="CU18" i="896"/>
  <c r="CV18" i="896"/>
  <c r="CZ18" i="896"/>
  <c r="DB18" i="896"/>
  <c r="DA18" i="896"/>
  <c r="DI18" i="896"/>
  <c r="DC18" i="896"/>
  <c r="CX18" i="896"/>
  <c r="CV17" i="896"/>
  <c r="CW17" i="896"/>
  <c r="DB17" i="896"/>
  <c r="DE17" i="896"/>
  <c r="DG17" i="896"/>
  <c r="DD17" i="896"/>
  <c r="DA17" i="896"/>
  <c r="DC17" i="896"/>
  <c r="CU7" i="896"/>
  <c r="CX7" i="896"/>
  <c r="CY7" i="896"/>
  <c r="DE7" i="896"/>
  <c r="DF7" i="896"/>
  <c r="DI7" i="896"/>
  <c r="DG7" i="896"/>
  <c r="CV7" i="896"/>
  <c r="CV14" i="896"/>
  <c r="DC14" i="896"/>
  <c r="DE14" i="896"/>
  <c r="CX14" i="896"/>
  <c r="DD14" i="896"/>
  <c r="DG14" i="896"/>
  <c r="CW14" i="896"/>
  <c r="DA14" i="896"/>
  <c r="CW12" i="896"/>
  <c r="CX12" i="896"/>
  <c r="CY12" i="896"/>
  <c r="DF12" i="896"/>
  <c r="CZ12" i="896"/>
  <c r="CU12" i="896"/>
  <c r="DG12" i="896"/>
  <c r="DA12" i="896"/>
  <c r="DF6" i="896"/>
  <c r="CV6" i="896"/>
  <c r="DB6" i="896"/>
  <c r="DG6" i="896"/>
  <c r="CW6" i="896"/>
  <c r="CU6" i="896"/>
  <c r="DH6" i="896"/>
  <c r="CX6" i="896"/>
  <c r="CW24" i="896"/>
  <c r="CX24" i="896"/>
  <c r="CY24" i="896"/>
  <c r="DF24" i="896"/>
  <c r="CZ24" i="896"/>
  <c r="CU24" i="896"/>
  <c r="DG24" i="896"/>
  <c r="DA24" i="896"/>
  <c r="DA8" i="896"/>
  <c r="CX8" i="896"/>
  <c r="CW8" i="896"/>
  <c r="CY8" i="896"/>
  <c r="DC8" i="896"/>
  <c r="DH8" i="896"/>
  <c r="DD8" i="896"/>
  <c r="CW13" i="896"/>
  <c r="CX13" i="896"/>
  <c r="DE13" i="896"/>
  <c r="DG13" i="896"/>
  <c r="DA9" i="896"/>
  <c r="CZ9" i="896"/>
  <c r="DB9" i="896"/>
  <c r="CX9" i="896"/>
  <c r="DJ33" i="896"/>
  <c r="DG33" i="896"/>
  <c r="DF33" i="896"/>
  <c r="DB33" i="896"/>
  <c r="DE33" i="896"/>
  <c r="DH33" i="896"/>
  <c r="CV33" i="896"/>
  <c r="DI33" i="896"/>
  <c r="DC27" i="896"/>
  <c r="DF27" i="896"/>
  <c r="DB27" i="896"/>
  <c r="CW27" i="896"/>
  <c r="DG27" i="896"/>
  <c r="DH27" i="896"/>
  <c r="DE27" i="896"/>
  <c r="DJ27" i="896"/>
  <c r="CZ41" i="896"/>
  <c r="CW41" i="896"/>
  <c r="DB41" i="896"/>
  <c r="CX41" i="896"/>
  <c r="DH41" i="896"/>
  <c r="DG41" i="896"/>
  <c r="CV41" i="896"/>
  <c r="DA41" i="896"/>
  <c r="DJ39" i="896"/>
  <c r="CZ39" i="896"/>
  <c r="DD39" i="896"/>
  <c r="CX39" i="896"/>
  <c r="DH39" i="896"/>
  <c r="DI39" i="896"/>
  <c r="DC39" i="896"/>
  <c r="DG39" i="896"/>
  <c r="CX16" i="896"/>
  <c r="CZ16" i="896"/>
  <c r="DG16" i="896"/>
  <c r="DJ16" i="896"/>
  <c r="DF16" i="896"/>
  <c r="CW16" i="896"/>
  <c r="DC16" i="896"/>
  <c r="DD16" i="896"/>
  <c r="DE29" i="896"/>
  <c r="DG29" i="896"/>
  <c r="DF29" i="896"/>
  <c r="DJ29" i="896"/>
  <c r="CV29" i="896"/>
  <c r="DB29" i="896"/>
  <c r="DH29" i="896"/>
  <c r="DI29" i="896"/>
  <c r="DI30" i="896"/>
  <c r="DF30" i="896"/>
  <c r="CU30" i="896"/>
  <c r="DA30" i="896"/>
  <c r="DC30" i="896"/>
  <c r="DG30" i="896"/>
  <c r="DH30" i="896"/>
  <c r="DD30" i="896"/>
  <c r="DG32" i="896"/>
  <c r="DH32" i="896"/>
  <c r="DC32" i="896"/>
  <c r="CY32" i="896"/>
  <c r="DF32" i="896"/>
  <c r="DI32" i="896"/>
  <c r="CW32" i="896"/>
  <c r="DJ32" i="896"/>
  <c r="CV4" i="896"/>
  <c r="CX4" i="896"/>
  <c r="DH4" i="896"/>
  <c r="DG4" i="896"/>
  <c r="DJ4" i="896"/>
  <c r="DD4" i="896"/>
  <c r="DB4" i="896"/>
  <c r="CZ4" i="896"/>
  <c r="DE37" i="896"/>
  <c r="CV37" i="896"/>
  <c r="DF37" i="896"/>
  <c r="DH37" i="896"/>
  <c r="DJ37" i="896"/>
  <c r="DB37" i="896"/>
  <c r="DG37" i="896"/>
  <c r="DI37" i="896"/>
  <c r="DF36" i="896"/>
  <c r="CW36" i="896"/>
  <c r="DC36" i="896"/>
  <c r="DI36" i="896"/>
  <c r="DG36" i="896"/>
  <c r="CY36" i="896"/>
  <c r="DH36" i="896"/>
  <c r="DJ36" i="896"/>
  <c r="DE20" i="896"/>
  <c r="DC20" i="896"/>
  <c r="DG20" i="896"/>
  <c r="DJ20" i="896"/>
  <c r="DD20" i="896"/>
  <c r="CV20" i="896"/>
  <c r="DH20" i="896"/>
  <c r="DI20" i="896"/>
  <c r="DC40" i="896"/>
  <c r="DH40" i="896"/>
  <c r="CU40" i="896"/>
  <c r="DG40" i="896"/>
  <c r="DJ40" i="896"/>
  <c r="DI40" i="896"/>
  <c r="CW40" i="896"/>
  <c r="CY40" i="896"/>
  <c r="CZ28" i="896"/>
  <c r="DG28" i="896"/>
  <c r="DA28" i="896"/>
  <c r="DF28" i="896"/>
  <c r="CW28" i="896"/>
  <c r="CV28" i="896"/>
  <c r="CX28" i="896"/>
  <c r="DE28" i="896"/>
  <c r="CX43" i="896"/>
  <c r="DI43" i="896"/>
  <c r="DJ43" i="896"/>
  <c r="DF43" i="896"/>
  <c r="CV43" i="896"/>
  <c r="CY43" i="896"/>
  <c r="DC43" i="896"/>
  <c r="DH43" i="896"/>
  <c r="DC35" i="896"/>
  <c r="CX35" i="896"/>
  <c r="DD35" i="896"/>
  <c r="DJ35" i="896"/>
  <c r="DH35" i="896"/>
  <c r="DI35" i="896"/>
  <c r="DG35" i="896"/>
  <c r="CZ35" i="896"/>
  <c r="DG42" i="896"/>
  <c r="CY42" i="896"/>
  <c r="DF42" i="896"/>
  <c r="CW42" i="896"/>
  <c r="DH42" i="896"/>
  <c r="CV42" i="896"/>
  <c r="CZ42" i="896"/>
  <c r="CU42" i="896"/>
  <c r="DH31" i="896"/>
  <c r="CX31" i="896"/>
  <c r="DI31" i="896"/>
  <c r="DG31" i="896"/>
  <c r="DF31" i="896"/>
  <c r="DJ31" i="896"/>
  <c r="CZ31" i="896"/>
  <c r="DC31" i="896"/>
  <c r="CZ5" i="896"/>
  <c r="DD5" i="896"/>
  <c r="DG5" i="896"/>
  <c r="DJ5" i="896"/>
  <c r="DE5" i="896"/>
  <c r="DF5" i="896"/>
  <c r="CY5" i="896"/>
  <c r="DA5" i="896"/>
  <c r="DC26" i="896"/>
  <c r="DI26" i="896"/>
  <c r="DH26" i="896"/>
  <c r="DF26" i="896"/>
  <c r="CZ26" i="896"/>
  <c r="DE26" i="896"/>
  <c r="DG26" i="896"/>
  <c r="DJ26" i="896"/>
  <c r="DD38" i="896"/>
  <c r="DF38" i="896"/>
  <c r="DJ38" i="896"/>
  <c r="DI38" i="896"/>
  <c r="DC38" i="896"/>
  <c r="DG38" i="896"/>
  <c r="DH38" i="896"/>
  <c r="CU38" i="896"/>
  <c r="DB10" i="896"/>
  <c r="CX10" i="896"/>
  <c r="CY10" i="896"/>
  <c r="DD10" i="896"/>
  <c r="DC10" i="896"/>
  <c r="DE10" i="896"/>
  <c r="DI10" i="896"/>
  <c r="DG10" i="896"/>
  <c r="DD34" i="896"/>
  <c r="DJ34" i="896"/>
  <c r="DI34" i="896"/>
  <c r="DC34" i="896"/>
  <c r="DA34" i="896"/>
  <c r="DF34" i="896"/>
  <c r="DH34" i="896"/>
  <c r="DG34" i="896"/>
  <c r="DD25" i="896"/>
  <c r="DJ25" i="896"/>
  <c r="DI25" i="896"/>
  <c r="DC25" i="896"/>
  <c r="DF25" i="896"/>
  <c r="DG25" i="896"/>
  <c r="DH25" i="896"/>
  <c r="CU25" i="896"/>
  <c r="DG23" i="896"/>
  <c r="CW23" i="896"/>
  <c r="CY23" i="896"/>
  <c r="DE23" i="896"/>
  <c r="DD23" i="896"/>
  <c r="DI23" i="896"/>
  <c r="DJ23" i="896"/>
  <c r="DF23" i="896"/>
  <c r="CY15" i="896"/>
  <c r="DH15" i="896"/>
  <c r="DF15" i="896"/>
  <c r="DG15" i="896"/>
  <c r="DD15" i="896"/>
  <c r="CX15" i="896"/>
  <c r="DE15" i="896"/>
  <c r="CW15" i="896"/>
  <c r="DH22" i="896"/>
  <c r="CX22" i="896"/>
  <c r="DG22" i="896"/>
  <c r="CZ22" i="896"/>
  <c r="DE22" i="896"/>
  <c r="DJ22" i="896"/>
  <c r="DF22" i="896"/>
  <c r="DC22" i="896"/>
  <c r="DD21" i="896"/>
  <c r="DJ21" i="896"/>
  <c r="DI21" i="896"/>
  <c r="DC21" i="896"/>
  <c r="DA21" i="896"/>
  <c r="DF21" i="896"/>
  <c r="DH21" i="896"/>
  <c r="DG21" i="896"/>
  <c r="DF11" i="896"/>
  <c r="DH11" i="896"/>
  <c r="DJ11" i="896"/>
  <c r="DI11" i="896"/>
  <c r="CV11" i="896"/>
  <c r="CX11" i="896"/>
  <c r="DB11" i="896"/>
  <c r="DD11" i="896"/>
  <c r="DG19" i="896"/>
  <c r="DD19" i="896"/>
  <c r="CW19" i="896"/>
  <c r="DH19" i="896"/>
  <c r="DA19" i="896"/>
  <c r="CV19" i="896"/>
  <c r="DB19" i="896"/>
  <c r="DC19" i="896"/>
  <c r="DH18" i="896"/>
  <c r="DE18" i="896"/>
  <c r="DG18" i="896"/>
  <c r="DF18" i="896"/>
  <c r="DD18" i="896"/>
  <c r="DJ18" i="896"/>
  <c r="CW18" i="896"/>
  <c r="CY18" i="896"/>
  <c r="DI17" i="896"/>
  <c r="CU17" i="896"/>
  <c r="DH17" i="896"/>
  <c r="DJ17" i="896"/>
  <c r="CY17" i="896"/>
  <c r="CX17" i="896"/>
  <c r="CZ17" i="896"/>
  <c r="DF17" i="896"/>
  <c r="DC7" i="896"/>
  <c r="CW7" i="896"/>
  <c r="DA7" i="896"/>
  <c r="CZ7" i="896"/>
  <c r="DH7" i="896"/>
  <c r="DD7" i="896"/>
  <c r="DB7" i="896"/>
  <c r="DJ7" i="896"/>
  <c r="DF14" i="896"/>
  <c r="DB14" i="896"/>
  <c r="CZ14" i="896"/>
  <c r="CU14" i="896"/>
  <c r="DI14" i="896"/>
  <c r="DJ14" i="896"/>
  <c r="DH14" i="896"/>
  <c r="CY14" i="896"/>
  <c r="DJ12" i="896"/>
  <c r="DC12" i="896"/>
  <c r="CV12" i="896"/>
  <c r="DD12" i="896"/>
  <c r="DH12" i="896"/>
  <c r="DB12" i="896"/>
  <c r="DI12" i="896"/>
  <c r="DE12" i="896"/>
  <c r="CY6" i="896"/>
  <c r="DA6" i="896"/>
  <c r="DE6" i="896"/>
  <c r="DD6" i="896"/>
  <c r="DJ6" i="896"/>
  <c r="DI6" i="896"/>
  <c r="DC6" i="896"/>
  <c r="CZ6" i="896"/>
  <c r="DJ24" i="896"/>
  <c r="DC24" i="896"/>
  <c r="CV24" i="896"/>
  <c r="DD24" i="896"/>
  <c r="DH24" i="896"/>
  <c r="DB24" i="896"/>
  <c r="DI24" i="896"/>
  <c r="DE24" i="896"/>
  <c r="DE8" i="896"/>
  <c r="DG8" i="896"/>
  <c r="DJ8" i="896"/>
  <c r="CZ8" i="896"/>
  <c r="CU8" i="896"/>
  <c r="DF8" i="896"/>
  <c r="DB8" i="896"/>
  <c r="CV8" i="896"/>
  <c r="DI13" i="896"/>
  <c r="DC13" i="896"/>
  <c r="CU13" i="896"/>
  <c r="DB13" i="896"/>
  <c r="CY13" i="896"/>
  <c r="DD13" i="896"/>
  <c r="DA13" i="896"/>
  <c r="DJ13" i="896"/>
  <c r="DE9" i="896"/>
  <c r="DI9" i="896"/>
  <c r="DF9" i="896"/>
  <c r="DG9" i="896"/>
  <c r="CY9" i="896"/>
  <c r="CV9" i="896"/>
  <c r="DJ9" i="896"/>
  <c r="DD9" i="896"/>
  <c r="DI8" i="896"/>
  <c r="DH13" i="896"/>
  <c r="CZ13" i="896"/>
  <c r="CV13" i="896"/>
  <c r="DF13" i="896"/>
  <c r="CW9" i="896"/>
  <c r="DC9" i="896"/>
  <c r="CU9" i="896"/>
  <c r="DH9" i="896"/>
</calcChain>
</file>

<file path=xl/connections.xml><?xml version="1.0" encoding="utf-8"?>
<connections xmlns="http://schemas.openxmlformats.org/spreadsheetml/2006/main">
  <connection id="1" name="RAT_BNYMCM_NoSR_REG20130318" type="6" refreshedVersion="0" background="1">
    <textPr prompt="0" sourceFile="W:\ALGO\REPORTS\20130318-REG\Recon\BNYMCM\RAT_BNYMCM_NoSR_REG20130318.csv">
      <textFields>
        <textField/>
      </textFields>
    </textPr>
  </connection>
  <connection id="2" name="RAT_Murex__REG" type="6" refreshedVersion="0" background="1">
    <textPr prompt="0" sourceFile="W:\ALGO\REPORTS\-REG\Recon\Equity\RAT_Murex__REG.csv">
      <textFields>
        <textField/>
      </textFields>
    </textPr>
  </connection>
  <connection id="3" name="RAT_Pershing_REG_20140930" type="6" refreshedVersion="4" background="1" saveData="1">
    <textPr prompt="0" sourceFile="W:\ALGO\REPORTS\20140930-REG\Recon\Pershing\RAT_Pershing_REG_20140930.csv" comma="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text"/>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<sst xmlns="http://schemas.openxmlformats.org/spreadsheetml/2006/main" count="7336" uniqueCount="1672">
  <si>
    <t>Date</t>
  </si>
  <si>
    <t>Bank Subtotal</t>
  </si>
  <si>
    <t>Non-Bank Subtotal</t>
  </si>
  <si>
    <t>Company Total</t>
  </si>
  <si>
    <t>RWInstrID</t>
  </si>
  <si>
    <t>SourceID</t>
  </si>
  <si>
    <t>StrategyID</t>
  </si>
  <si>
    <t>FI_Pstn_ID</t>
  </si>
  <si>
    <t>Source</t>
  </si>
  <si>
    <t>Branch</t>
  </si>
  <si>
    <t>Desk</t>
  </si>
  <si>
    <t>Book</t>
  </si>
  <si>
    <t>Exchange</t>
  </si>
  <si>
    <t>Instrument Type</t>
  </si>
  <si>
    <t>SubInstrument</t>
  </si>
  <si>
    <t>Issuer</t>
  </si>
  <si>
    <t>Model</t>
  </si>
  <si>
    <t>EffectiveDate</t>
  </si>
  <si>
    <t>OrigMatDate</t>
  </si>
  <si>
    <t>Maturity</t>
  </si>
  <si>
    <t>Und Maturity</t>
  </si>
  <si>
    <t>Buy/Sell</t>
  </si>
  <si>
    <t>TotNotInCur</t>
  </si>
  <si>
    <t>TotNotInUSD</t>
  </si>
  <si>
    <t>Quantity</t>
  </si>
  <si>
    <t>ContractSize</t>
  </si>
  <si>
    <t>TheoValue</t>
  </si>
  <si>
    <t>ModelDelta</t>
  </si>
  <si>
    <t>DeltaUsd</t>
  </si>
  <si>
    <t>Currency1</t>
  </si>
  <si>
    <t>Cur1Amt</t>
  </si>
  <si>
    <t>Currency2</t>
  </si>
  <si>
    <t>Cur2Amt</t>
  </si>
  <si>
    <t>IndexCurve</t>
  </si>
  <si>
    <t>DiscountCurve</t>
  </si>
  <si>
    <t>BPSup</t>
  </si>
  <si>
    <t>BPSdown</t>
  </si>
  <si>
    <t>VEGAup</t>
  </si>
  <si>
    <t>VEGAdown</t>
  </si>
  <si>
    <t>Theta</t>
  </si>
  <si>
    <t>Strike Price</t>
  </si>
  <si>
    <t>Spot Price</t>
  </si>
  <si>
    <t>Forward Rate</t>
  </si>
  <si>
    <t>Call Option</t>
  </si>
  <si>
    <t>Volatility</t>
  </si>
  <si>
    <t>AdjDuration</t>
  </si>
  <si>
    <t>Yield</t>
  </si>
  <si>
    <t>Moody's Rating</t>
  </si>
  <si>
    <t>S&amp;P Rating</t>
  </si>
  <si>
    <t>VaR</t>
  </si>
  <si>
    <t>Liquidity</t>
  </si>
  <si>
    <t>Counterparty</t>
  </si>
  <si>
    <t>DailyVolume</t>
  </si>
  <si>
    <t>Security Identifier</t>
  </si>
  <si>
    <t>Cusip</t>
  </si>
  <si>
    <t>Sedol</t>
  </si>
  <si>
    <t>Portfolio</t>
  </si>
  <si>
    <t>UnderlierTicker</t>
  </si>
  <si>
    <t>Trade Indicator</t>
  </si>
  <si>
    <t>Beta</t>
  </si>
  <si>
    <t>ModelGamma</t>
  </si>
  <si>
    <t>GammaUSD</t>
  </si>
  <si>
    <t>Major Product Code - Source</t>
  </si>
  <si>
    <t>Minor Product Code - Source</t>
  </si>
  <si>
    <t>Major Product Description - Source</t>
  </si>
  <si>
    <t>Minor Product Description - Source</t>
  </si>
  <si>
    <t>Notional Factor</t>
  </si>
  <si>
    <t>Fixed Rate</t>
  </si>
  <si>
    <t>Floating Rate</t>
  </si>
  <si>
    <t>Reference Security</t>
  </si>
  <si>
    <t>Credit Spread Curve</t>
  </si>
  <si>
    <t>Credit Spread Up</t>
  </si>
  <si>
    <t>Credit Spread Down</t>
  </si>
  <si>
    <t>NA</t>
  </si>
  <si>
    <t>S</t>
  </si>
  <si>
    <t>USD</t>
  </si>
  <si>
    <t>C</t>
  </si>
  <si>
    <t>B</t>
  </si>
  <si>
    <t>AA</t>
  </si>
  <si>
    <t>CL</t>
  </si>
  <si>
    <t>GE</t>
  </si>
  <si>
    <t>GS</t>
  </si>
  <si>
    <t>MS</t>
  </si>
  <si>
    <t>PG</t>
  </si>
  <si>
    <t>PM</t>
  </si>
  <si>
    <t>SO</t>
  </si>
  <si>
    <t>SEK</t>
  </si>
  <si>
    <t>AMERICAN EXPRESS CO</t>
  </si>
  <si>
    <t>MCO</t>
  </si>
  <si>
    <t>DE</t>
  </si>
  <si>
    <t>MO</t>
  </si>
  <si>
    <t>Under construction</t>
  </si>
  <si>
    <t>0 % ANNU actual/actual</t>
  </si>
  <si>
    <t>0 T</t>
  </si>
  <si>
    <t>WI</t>
  </si>
  <si>
    <t>Baa2</t>
  </si>
  <si>
    <t>BBB</t>
  </si>
  <si>
    <t>Aaa</t>
  </si>
  <si>
    <t>AAA</t>
  </si>
  <si>
    <t>Aa3</t>
  </si>
  <si>
    <t>AA-</t>
  </si>
  <si>
    <t>Baa3</t>
  </si>
  <si>
    <t>BBB-</t>
  </si>
  <si>
    <t>AA+</t>
  </si>
  <si>
    <t>A</t>
  </si>
  <si>
    <t>Aa2</t>
  </si>
  <si>
    <t>NR</t>
  </si>
  <si>
    <t>A+</t>
  </si>
  <si>
    <t>Baa1</t>
  </si>
  <si>
    <t>MEX</t>
  </si>
  <si>
    <t>SP</t>
  </si>
  <si>
    <t>B2</t>
  </si>
  <si>
    <t>B+</t>
  </si>
  <si>
    <t>B-</t>
  </si>
  <si>
    <t>Caa1</t>
  </si>
  <si>
    <t>P-1</t>
  </si>
  <si>
    <t>A-1</t>
  </si>
  <si>
    <t>A-1+</t>
  </si>
  <si>
    <t>ING (US) FUNDING LLC</t>
  </si>
  <si>
    <t>NATIXIS US FINANCE CO</t>
  </si>
  <si>
    <t>A2</t>
  </si>
  <si>
    <t>A1</t>
  </si>
  <si>
    <t>Aa1</t>
  </si>
  <si>
    <t>A3</t>
  </si>
  <si>
    <t>A-</t>
  </si>
  <si>
    <t>CHE</t>
  </si>
  <si>
    <t>Ba3</t>
  </si>
  <si>
    <t>BB-</t>
  </si>
  <si>
    <t>B3</t>
  </si>
  <si>
    <t>BBB+</t>
  </si>
  <si>
    <t>AMER EXPRESS CREDIT CO</t>
  </si>
  <si>
    <t>AMERICAN EXPRESS CREDIT</t>
  </si>
  <si>
    <t>BB</t>
  </si>
  <si>
    <t>Ba1</t>
  </si>
  <si>
    <t>BB+</t>
  </si>
  <si>
    <t>Ba2</t>
  </si>
  <si>
    <t>CCC+</t>
  </si>
  <si>
    <t>BA</t>
  </si>
  <si>
    <t>B1</t>
  </si>
  <si>
    <t>CM</t>
  </si>
  <si>
    <t>Ca</t>
  </si>
  <si>
    <t>CCC-</t>
  </si>
  <si>
    <t>CCC</t>
  </si>
  <si>
    <t>NU</t>
  </si>
  <si>
    <t>CREDIT SUISSE USA INC</t>
  </si>
  <si>
    <t>CS</t>
  </si>
  <si>
    <t>D</t>
  </si>
  <si>
    <t>GD</t>
  </si>
  <si>
    <t>GOLDMAN SACHS CAPITAL I</t>
  </si>
  <si>
    <t>GT</t>
  </si>
  <si>
    <t>HSBC FINANCE CORP</t>
  </si>
  <si>
    <t>HSBC FIN CAP TRUST IX</t>
  </si>
  <si>
    <t>IR</t>
  </si>
  <si>
    <t>IM</t>
  </si>
  <si>
    <t>Caa3</t>
  </si>
  <si>
    <t>LEHMAN BROS HLDG</t>
  </si>
  <si>
    <t>MERRILL LYNCH &amp; CO</t>
  </si>
  <si>
    <t>NP</t>
  </si>
  <si>
    <t>NI</t>
  </si>
  <si>
    <t>NOMURA HOLDINGS INC</t>
  </si>
  <si>
    <t>Caa2</t>
  </si>
  <si>
    <t>SD</t>
  </si>
  <si>
    <t>SCG</t>
  </si>
  <si>
    <t>MACQUARIE GROUP LTD</t>
  </si>
  <si>
    <t>TZA</t>
  </si>
  <si>
    <t>IRUSD_Interbank</t>
  </si>
  <si>
    <t>GN</t>
  </si>
  <si>
    <t>RABOBANK USA FIN CORP</t>
  </si>
  <si>
    <t>MAR</t>
  </si>
  <si>
    <t>ARG</t>
  </si>
  <si>
    <t>BOL</t>
  </si>
  <si>
    <t>BG</t>
  </si>
  <si>
    <t>CAPITAL ONE BANK USA NA</t>
  </si>
  <si>
    <t>CCK</t>
  </si>
  <si>
    <t>HR</t>
  </si>
  <si>
    <t>KR</t>
  </si>
  <si>
    <t>POL</t>
  </si>
  <si>
    <t>PL</t>
  </si>
  <si>
    <t>Non-IR positions and IR positions without issuer specific risks are excluded, based on Major Product Code</t>
  </si>
  <si>
    <t>No Issuer Specific Risk</t>
  </si>
  <si>
    <t>Not IR position, as this is considered in Basel II.5 EQ standard charge</t>
  </si>
  <si>
    <t>Position belonging to portfolio triples not configured on REG No-SR VaR report are excluded</t>
  </si>
  <si>
    <t>Exclusions</t>
  </si>
  <si>
    <t>Netting</t>
  </si>
  <si>
    <t>Data repairing</t>
  </si>
  <si>
    <t>Wait a few minutes and let the data load. Save as values before continuing to run the rest of the macro to identify issuer type and assign proper risk-weighting-factors.</t>
  </si>
  <si>
    <t>Bloomberg Data Import</t>
  </si>
  <si>
    <t>Category</t>
  </si>
  <si>
    <t>Sub-Category</t>
  </si>
  <si>
    <t>CRC</t>
  </si>
  <si>
    <t>EBITDA-to-Asset Ratio</t>
  </si>
  <si>
    <t>Stock Volatility</t>
  </si>
  <si>
    <t>Time to Maturity</t>
  </si>
  <si>
    <t>Risk Weighting Factor Code</t>
  </si>
  <si>
    <t>Risk Weighting Factor</t>
  </si>
  <si>
    <t>I.Sovereign</t>
  </si>
  <si>
    <t>I.0</t>
  </si>
  <si>
    <t>I.1</t>
  </si>
  <si>
    <t>T1</t>
  </si>
  <si>
    <t>180 days or less</t>
  </si>
  <si>
    <t>I.2.T1</t>
  </si>
  <si>
    <t>T2</t>
  </si>
  <si>
    <t>181 to 720 days</t>
  </si>
  <si>
    <t>I.2.T2</t>
  </si>
  <si>
    <t>T3</t>
  </si>
  <si>
    <t>over 720 days</t>
  </si>
  <si>
    <t>I.2.T3</t>
  </si>
  <si>
    <t>I.3.T1</t>
  </si>
  <si>
    <t>I.3.T2</t>
  </si>
  <si>
    <t>SV1</t>
  </si>
  <si>
    <t>I.3.T3</t>
  </si>
  <si>
    <t>SV2</t>
  </si>
  <si>
    <t>I.4</t>
  </si>
  <si>
    <t>I.5</t>
  </si>
  <si>
    <t>I.6</t>
  </si>
  <si>
    <t>I.7</t>
  </si>
  <si>
    <t>DefaultedInLast5Y</t>
  </si>
  <si>
    <t>I.DefaultedInLast5Y</t>
  </si>
  <si>
    <t>NoCRC</t>
  </si>
  <si>
    <t>I.NoCRC</t>
  </si>
  <si>
    <t>II.Supranational</t>
  </si>
  <si>
    <t>II</t>
  </si>
  <si>
    <t>III.GSE</t>
  </si>
  <si>
    <t>III</t>
  </si>
  <si>
    <t>IV.a.0.T1</t>
  </si>
  <si>
    <t>EA1</t>
  </si>
  <si>
    <t>non-negative</t>
  </si>
  <si>
    <t>IV.a.0.T2</t>
  </si>
  <si>
    <t>EA2</t>
  </si>
  <si>
    <t>negative</t>
  </si>
  <si>
    <t>IV.a.0.T3</t>
  </si>
  <si>
    <t>IV.a.1.T1</t>
  </si>
  <si>
    <t>IV.a.1.T2</t>
  </si>
  <si>
    <t>IV.a.1.T3</t>
  </si>
  <si>
    <t>IV.a.2.T1</t>
  </si>
  <si>
    <t>IV.a.2.T2</t>
  </si>
  <si>
    <t>IV.a.2.T3</t>
  </si>
  <si>
    <t>IV.a.3</t>
  </si>
  <si>
    <t>IV.a.4</t>
  </si>
  <si>
    <t>IV.a.5</t>
  </si>
  <si>
    <t>IV.a.6</t>
  </si>
  <si>
    <t>IV.a.7</t>
  </si>
  <si>
    <t>IV.a.NoCRC</t>
  </si>
  <si>
    <t>IV.a.DefaultedInLast5Y</t>
  </si>
  <si>
    <t>IV.b</t>
  </si>
  <si>
    <t>V.PSE</t>
  </si>
  <si>
    <t>a.General Obligation</t>
  </si>
  <si>
    <t>V.a.0.T1</t>
  </si>
  <si>
    <t>V.a.0.T2</t>
  </si>
  <si>
    <t>V.a.0.T3</t>
  </si>
  <si>
    <t>V.a.1.T1</t>
  </si>
  <si>
    <t>V.a.1.T2</t>
  </si>
  <si>
    <t>V.a.1.T3</t>
  </si>
  <si>
    <t>V.a.2.T1</t>
  </si>
  <si>
    <t>V.a.2.T2</t>
  </si>
  <si>
    <t>V.a.2.T3</t>
  </si>
  <si>
    <t>V.a.3</t>
  </si>
  <si>
    <t>V.a.4</t>
  </si>
  <si>
    <t>V.a.5</t>
  </si>
  <si>
    <t>V.a.6</t>
  </si>
  <si>
    <t>V.a.7</t>
  </si>
  <si>
    <t>V.a.NoCRC</t>
  </si>
  <si>
    <t>V.a.DefaultedInLast5Y</t>
  </si>
  <si>
    <t>b.Revenue Obligation</t>
  </si>
  <si>
    <t>V.b.0.T1</t>
  </si>
  <si>
    <t>V.b.0.T2</t>
  </si>
  <si>
    <t>V.b.0.T3</t>
  </si>
  <si>
    <t>V.b.1.T1</t>
  </si>
  <si>
    <t>V.b.1.T2</t>
  </si>
  <si>
    <t>V.b.1.T3</t>
  </si>
  <si>
    <t>V.b.2</t>
  </si>
  <si>
    <t>V.b.3</t>
  </si>
  <si>
    <t>V.b.4</t>
  </si>
  <si>
    <t>V.b.5</t>
  </si>
  <si>
    <t>V.b.6</t>
  </si>
  <si>
    <t>V.b.7</t>
  </si>
  <si>
    <t>V.b.NoCRC</t>
  </si>
  <si>
    <t>V.b.DefaultedInLast5Y</t>
  </si>
  <si>
    <t>VI.Corporate</t>
  </si>
  <si>
    <t>a.Public</t>
  </si>
  <si>
    <t>missing any of ---&gt;</t>
  </si>
  <si>
    <t>???</t>
  </si>
  <si>
    <t>b.Private</t>
  </si>
  <si>
    <t>VI.b</t>
  </si>
  <si>
    <t>VII.Securitization</t>
  </si>
  <si>
    <t>VII</t>
  </si>
  <si>
    <t>VIII.Mortgage I/O</t>
  </si>
  <si>
    <t>VIII</t>
  </si>
  <si>
    <t>greater than 0.1</t>
  </si>
  <si>
    <t>0.1 or less</t>
  </si>
  <si>
    <t>IV.Bank</t>
  </si>
  <si>
    <t>a.Regular</t>
  </si>
  <si>
    <t>b.Subordinate</t>
  </si>
  <si>
    <t>Credit Rating</t>
  </si>
  <si>
    <t>Investment Grade</t>
  </si>
  <si>
    <t>CR1</t>
  </si>
  <si>
    <t>VI.a.CR1.EA1.SV1.T1</t>
  </si>
  <si>
    <t>VI.a.CR1.EA1.SV1.T2</t>
  </si>
  <si>
    <t>VI.a.CR1.EA1.SV1.T3</t>
  </si>
  <si>
    <t>VI.a.CR1.EA1.SV2</t>
  </si>
  <si>
    <t>VI.a.CR1.EA2.SV1</t>
  </si>
  <si>
    <t>VI.a.CR1.EA2.SV2</t>
  </si>
  <si>
    <t>CR2</t>
  </si>
  <si>
    <t>VI.a.CR2.EA1.SV1</t>
  </si>
  <si>
    <t>VI.a.CR2.EA1.SV2</t>
  </si>
  <si>
    <t>VI.a.CR2.EA2.SV1</t>
  </si>
  <si>
    <t>VI.a.CR2.EA2.SV2</t>
  </si>
  <si>
    <t>CR3</t>
  </si>
  <si>
    <t>VI.a.CR3.EA1.SV1</t>
  </si>
  <si>
    <t>VI.a.CR3.EA1.SV2</t>
  </si>
  <si>
    <t>VI.a.CR3.EA2.SV1</t>
  </si>
  <si>
    <t>VI.a.CR3.EA2.SV2</t>
  </si>
  <si>
    <t>Both Moody's and S&amp;P Investment Grade</t>
  </si>
  <si>
    <t>Moody's and/or S&amp;P Non Investment Grade</t>
  </si>
  <si>
    <t>Both Moody's and S&amp;P Ratings Missing</t>
  </si>
  <si>
    <t>&lt;-- need to check for CRC floor, I.Sovereign</t>
  </si>
  <si>
    <t>Up To</t>
  </si>
  <si>
    <t>Days</t>
  </si>
  <si>
    <t>Then Up To</t>
  </si>
  <si>
    <t>Over</t>
  </si>
  <si>
    <t>Greater than or equal to</t>
  </si>
  <si>
    <t>Less than</t>
  </si>
  <si>
    <t>ACTV</t>
  </si>
  <si>
    <t>Active</t>
  </si>
  <si>
    <t>Public</t>
  </si>
  <si>
    <t>ACQU</t>
  </si>
  <si>
    <t>Acquired</t>
  </si>
  <si>
    <t>Auction</t>
  </si>
  <si>
    <t>CA</t>
  </si>
  <si>
    <t>Any Combination of Cum Remarks</t>
  </si>
  <si>
    <t>CB</t>
  </si>
  <si>
    <t>Cum Bonus</t>
  </si>
  <si>
    <t>CD</t>
  </si>
  <si>
    <t>Cum Dividend</t>
  </si>
  <si>
    <t>CE</t>
  </si>
  <si>
    <t>Cum Entitlement</t>
  </si>
  <si>
    <t>CI</t>
  </si>
  <si>
    <t>Cum Interest</t>
  </si>
  <si>
    <t>Closing Auction</t>
  </si>
  <si>
    <t>CO</t>
  </si>
  <si>
    <t>Cum Offer</t>
  </si>
  <si>
    <t>CR</t>
  </si>
  <si>
    <t>Cum Rights</t>
  </si>
  <si>
    <t>DELT</t>
  </si>
  <si>
    <t>Security Deleted</t>
  </si>
  <si>
    <t>DL</t>
  </si>
  <si>
    <t>Delisted</t>
  </si>
  <si>
    <t>Private</t>
  </si>
  <si>
    <t>DLST</t>
  </si>
  <si>
    <t>EXPD</t>
  </si>
  <si>
    <t>Expired</t>
  </si>
  <si>
    <t>HALT</t>
  </si>
  <si>
    <t>Halted</t>
  </si>
  <si>
    <t>IMBB</t>
  </si>
  <si>
    <t>Market Imbalance Buy</t>
  </si>
  <si>
    <t>IMBS</t>
  </si>
  <si>
    <t>Market Imbalance Sell</t>
  </si>
  <si>
    <t>IMRK</t>
  </si>
  <si>
    <t>Indicated Market</t>
  </si>
  <si>
    <t>INAC</t>
  </si>
  <si>
    <t>Inactive</t>
  </si>
  <si>
    <t>INFO</t>
  </si>
  <si>
    <t>Additional Information on DES</t>
  </si>
  <si>
    <t>LIQU</t>
  </si>
  <si>
    <t>Liquidated</t>
  </si>
  <si>
    <t>NIMB</t>
  </si>
  <si>
    <t>No Market Imbalance</t>
  </si>
  <si>
    <t>NOMM</t>
  </si>
  <si>
    <t>No Market Makers</t>
  </si>
  <si>
    <t>NOOP</t>
  </si>
  <si>
    <t>No Open, No Resume</t>
  </si>
  <si>
    <t>Opening Auction</t>
  </si>
  <si>
    <t>OPDL</t>
  </si>
  <si>
    <t>Opening Delay</t>
  </si>
  <si>
    <t>PEND</t>
  </si>
  <si>
    <t>Pending Listing</t>
  </si>
  <si>
    <t>PIND</t>
  </si>
  <si>
    <t>Price Indication</t>
  </si>
  <si>
    <t>POST</t>
  </si>
  <si>
    <t>Postponed</t>
  </si>
  <si>
    <t>PRIV</t>
  </si>
  <si>
    <t>Private Company</t>
  </si>
  <si>
    <t>PRNA</t>
  </si>
  <si>
    <t>Price Not Available</t>
  </si>
  <si>
    <t>PSYM</t>
  </si>
  <si>
    <t>Pending Symbol</t>
  </si>
  <si>
    <t>RSRV</t>
  </si>
  <si>
    <t>Halted Exceeds Limit</t>
  </si>
  <si>
    <t>SC</t>
  </si>
  <si>
    <t>Script Conversion</t>
  </si>
  <si>
    <t>Stock Split</t>
  </si>
  <si>
    <t>ST</t>
  </si>
  <si>
    <t>Stabilization Indicator</t>
  </si>
  <si>
    <t>SUSP</t>
  </si>
  <si>
    <t>Suspended</t>
  </si>
  <si>
    <t>TKCH</t>
  </si>
  <si>
    <t>Ticker Change</t>
  </si>
  <si>
    <t>TRIN</t>
  </si>
  <si>
    <t>Trading Range Indication</t>
  </si>
  <si>
    <t>UNLS</t>
  </si>
  <si>
    <t>Unlisted</t>
  </si>
  <si>
    <t>WHIS</t>
  </si>
  <si>
    <t>When Issued</t>
  </si>
  <si>
    <t>XA</t>
  </si>
  <si>
    <t>Any Combination of Ex Remarks</t>
  </si>
  <si>
    <t>XB</t>
  </si>
  <si>
    <t>Ex Bonus</t>
  </si>
  <si>
    <t>XD</t>
  </si>
  <si>
    <t>Ex Dividend</t>
  </si>
  <si>
    <t>XDXR</t>
  </si>
  <si>
    <t>Ex Dividend/Ex Rights</t>
  </si>
  <si>
    <t>XL</t>
  </si>
  <si>
    <t>Ex Liquidation</t>
  </si>
  <si>
    <t>XP</t>
  </si>
  <si>
    <t>Ex Repayment of Capital</t>
  </si>
  <si>
    <t>XR</t>
  </si>
  <si>
    <t>Ex Rights</t>
  </si>
  <si>
    <t>XS</t>
  </si>
  <si>
    <t>Ex Stock Distribution</t>
  </si>
  <si>
    <t>AX</t>
  </si>
  <si>
    <t>ALA</t>
  </si>
  <si>
    <t>AF</t>
  </si>
  <si>
    <t>AFG</t>
  </si>
  <si>
    <t>AL</t>
  </si>
  <si>
    <t>ALB</t>
  </si>
  <si>
    <t>DZ</t>
  </si>
  <si>
    <t>DZA</t>
  </si>
  <si>
    <t>AS</t>
  </si>
  <si>
    <t>ASM</t>
  </si>
  <si>
    <t>AD</t>
  </si>
  <si>
    <t>AND</t>
  </si>
  <si>
    <t>AO</t>
  </si>
  <si>
    <t>AGO</t>
  </si>
  <si>
    <t>AI</t>
  </si>
  <si>
    <t>AIA</t>
  </si>
  <si>
    <t>AQ</t>
  </si>
  <si>
    <t>ATA</t>
  </si>
  <si>
    <t>AG</t>
  </si>
  <si>
    <t>ATG</t>
  </si>
  <si>
    <t>AR</t>
  </si>
  <si>
    <t>AM</t>
  </si>
  <si>
    <t>ARM</t>
  </si>
  <si>
    <t>AW</t>
  </si>
  <si>
    <t>ABW</t>
  </si>
  <si>
    <t>AU</t>
  </si>
  <si>
    <t>AUS</t>
  </si>
  <si>
    <t>AT</t>
  </si>
  <si>
    <t>AUT</t>
  </si>
  <si>
    <t>AZ</t>
  </si>
  <si>
    <t>AZE</t>
  </si>
  <si>
    <t>BS</t>
  </si>
  <si>
    <t>BHS</t>
  </si>
  <si>
    <t>BH</t>
  </si>
  <si>
    <t>BHR</t>
  </si>
  <si>
    <t>BD</t>
  </si>
  <si>
    <t>BGD</t>
  </si>
  <si>
    <t>BRB</t>
  </si>
  <si>
    <t>BY</t>
  </si>
  <si>
    <t>BLR</t>
  </si>
  <si>
    <t>BE</t>
  </si>
  <si>
    <t>BEL</t>
  </si>
  <si>
    <t>BZ</t>
  </si>
  <si>
    <t>BLZ</t>
  </si>
  <si>
    <t>BJ</t>
  </si>
  <si>
    <t>BEN</t>
  </si>
  <si>
    <t>BM</t>
  </si>
  <si>
    <t>BMU</t>
  </si>
  <si>
    <t>BT</t>
  </si>
  <si>
    <t>BTN</t>
  </si>
  <si>
    <t>BO</t>
  </si>
  <si>
    <t>BIH</t>
  </si>
  <si>
    <t>BW</t>
  </si>
  <si>
    <t>BWA</t>
  </si>
  <si>
    <t>BV</t>
  </si>
  <si>
    <t>BVT</t>
  </si>
  <si>
    <t>BR</t>
  </si>
  <si>
    <t>BRA</t>
  </si>
  <si>
    <t>IO</t>
  </si>
  <si>
    <t>IOT</t>
  </si>
  <si>
    <t>BN</t>
  </si>
  <si>
    <t>BRN</t>
  </si>
  <si>
    <t>BGR</t>
  </si>
  <si>
    <t>BF</t>
  </si>
  <si>
    <t>BFA</t>
  </si>
  <si>
    <t>BI</t>
  </si>
  <si>
    <t>BDI</t>
  </si>
  <si>
    <t>KH</t>
  </si>
  <si>
    <t>KHM</t>
  </si>
  <si>
    <t>CMR</t>
  </si>
  <si>
    <t>CAN</t>
  </si>
  <si>
    <t>CV</t>
  </si>
  <si>
    <t>CPV</t>
  </si>
  <si>
    <t>KY</t>
  </si>
  <si>
    <t>CYM</t>
  </si>
  <si>
    <t>CF</t>
  </si>
  <si>
    <t>CAF</t>
  </si>
  <si>
    <t>TD</t>
  </si>
  <si>
    <t>TCD</t>
  </si>
  <si>
    <t>CHL</t>
  </si>
  <si>
    <t>CN</t>
  </si>
  <si>
    <t>CHN</t>
  </si>
  <si>
    <t>CX</t>
  </si>
  <si>
    <t>CXR</t>
  </si>
  <si>
    <t>CC</t>
  </si>
  <si>
    <t>COL</t>
  </si>
  <si>
    <t>KM</t>
  </si>
  <si>
    <t>COM</t>
  </si>
  <si>
    <t>COD</t>
  </si>
  <si>
    <t>CG</t>
  </si>
  <si>
    <t>COG</t>
  </si>
  <si>
    <t>CK</t>
  </si>
  <si>
    <t>COK</t>
  </si>
  <si>
    <t>CRI</t>
  </si>
  <si>
    <t>CIV</t>
  </si>
  <si>
    <t>HRV</t>
  </si>
  <si>
    <t>CU</t>
  </si>
  <si>
    <t>CUB</t>
  </si>
  <si>
    <t>Curaçao</t>
  </si>
  <si>
    <t>CW</t>
  </si>
  <si>
    <t>CUW</t>
  </si>
  <si>
    <t>CY</t>
  </si>
  <si>
    <t>CYP</t>
  </si>
  <si>
    <t>CZ</t>
  </si>
  <si>
    <t>CZE</t>
  </si>
  <si>
    <t>DK</t>
  </si>
  <si>
    <t>DNK</t>
  </si>
  <si>
    <t>DJ</t>
  </si>
  <si>
    <t>DJI</t>
  </si>
  <si>
    <t>DM</t>
  </si>
  <si>
    <t>DMA</t>
  </si>
  <si>
    <t>DO</t>
  </si>
  <si>
    <t>DOM</t>
  </si>
  <si>
    <t>EC</t>
  </si>
  <si>
    <t>ECU</t>
  </si>
  <si>
    <t>EG</t>
  </si>
  <si>
    <t>EGY</t>
  </si>
  <si>
    <t>SV</t>
  </si>
  <si>
    <t>SLV</t>
  </si>
  <si>
    <t>GQ</t>
  </si>
  <si>
    <t>GNQ</t>
  </si>
  <si>
    <t>ER</t>
  </si>
  <si>
    <t>ERI</t>
  </si>
  <si>
    <t>EE</t>
  </si>
  <si>
    <t>EST</t>
  </si>
  <si>
    <t>ET</t>
  </si>
  <si>
    <t>ETH</t>
  </si>
  <si>
    <t>FK</t>
  </si>
  <si>
    <t>FLK</t>
  </si>
  <si>
    <t>FO</t>
  </si>
  <si>
    <t>FRO</t>
  </si>
  <si>
    <t>FJ</t>
  </si>
  <si>
    <t>FJI</t>
  </si>
  <si>
    <t>FI</t>
  </si>
  <si>
    <t>FIN</t>
  </si>
  <si>
    <t>FR</t>
  </si>
  <si>
    <t>FRA</t>
  </si>
  <si>
    <t>GF</t>
  </si>
  <si>
    <t>GUF</t>
  </si>
  <si>
    <t>PF</t>
  </si>
  <si>
    <t>PYF</t>
  </si>
  <si>
    <t>TF</t>
  </si>
  <si>
    <t>ATF</t>
  </si>
  <si>
    <t>GA</t>
  </si>
  <si>
    <t>GAB</t>
  </si>
  <si>
    <t>GM</t>
  </si>
  <si>
    <t>GMB</t>
  </si>
  <si>
    <t>GEO</t>
  </si>
  <si>
    <t>DEU</t>
  </si>
  <si>
    <t>GH</t>
  </si>
  <si>
    <t>GHA</t>
  </si>
  <si>
    <t>GI</t>
  </si>
  <si>
    <t>GIB</t>
  </si>
  <si>
    <t>GR</t>
  </si>
  <si>
    <t>GRC</t>
  </si>
  <si>
    <t>GL</t>
  </si>
  <si>
    <t>GRL</t>
  </si>
  <si>
    <t>GRD</t>
  </si>
  <si>
    <t>GP</t>
  </si>
  <si>
    <t>GLP</t>
  </si>
  <si>
    <t>GU</t>
  </si>
  <si>
    <t>GUM</t>
  </si>
  <si>
    <t>GTM</t>
  </si>
  <si>
    <t>GG</t>
  </si>
  <si>
    <t>GGY</t>
  </si>
  <si>
    <t>GIN</t>
  </si>
  <si>
    <t>GW</t>
  </si>
  <si>
    <t>GNB</t>
  </si>
  <si>
    <t>GY</t>
  </si>
  <si>
    <t>GUY</t>
  </si>
  <si>
    <t>HT</t>
  </si>
  <si>
    <t>HTI</t>
  </si>
  <si>
    <t>HM</t>
  </si>
  <si>
    <t>HMD</t>
  </si>
  <si>
    <t>HN</t>
  </si>
  <si>
    <t>HND</t>
  </si>
  <si>
    <t>HK</t>
  </si>
  <si>
    <t>HKG</t>
  </si>
  <si>
    <t>HU</t>
  </si>
  <si>
    <t>HUN</t>
  </si>
  <si>
    <t>IS</t>
  </si>
  <si>
    <t>ISL</t>
  </si>
  <si>
    <t>IN</t>
  </si>
  <si>
    <t>IND</t>
  </si>
  <si>
    <t>ID</t>
  </si>
  <si>
    <t>IDN</t>
  </si>
  <si>
    <t>IRN</t>
  </si>
  <si>
    <t>IQ</t>
  </si>
  <si>
    <t>IRQ</t>
  </si>
  <si>
    <t>IE</t>
  </si>
  <si>
    <t>IRL</t>
  </si>
  <si>
    <t>IMN</t>
  </si>
  <si>
    <t>IL</t>
  </si>
  <si>
    <t>ISR</t>
  </si>
  <si>
    <t>IT</t>
  </si>
  <si>
    <t>ITA</t>
  </si>
  <si>
    <t>JM</t>
  </si>
  <si>
    <t>JAM</t>
  </si>
  <si>
    <t>JP</t>
  </si>
  <si>
    <t>JPN</t>
  </si>
  <si>
    <t>JE</t>
  </si>
  <si>
    <t>JEY</t>
  </si>
  <si>
    <t>JO</t>
  </si>
  <si>
    <t>JOR</t>
  </si>
  <si>
    <t>KZ</t>
  </si>
  <si>
    <t>KAZ</t>
  </si>
  <si>
    <t>KE</t>
  </si>
  <si>
    <t>KEN</t>
  </si>
  <si>
    <t>KI</t>
  </si>
  <si>
    <t>KIR</t>
  </si>
  <si>
    <t>KP</t>
  </si>
  <si>
    <t>PRK</t>
  </si>
  <si>
    <t>KOR</t>
  </si>
  <si>
    <t>KW</t>
  </si>
  <si>
    <t>KWT</t>
  </si>
  <si>
    <t>KG</t>
  </si>
  <si>
    <t>KGZ</t>
  </si>
  <si>
    <t>LA</t>
  </si>
  <si>
    <t>LAO</t>
  </si>
  <si>
    <t>LV</t>
  </si>
  <si>
    <t>LVA</t>
  </si>
  <si>
    <t>LB</t>
  </si>
  <si>
    <t>LBN</t>
  </si>
  <si>
    <t>LS</t>
  </si>
  <si>
    <t>LSO</t>
  </si>
  <si>
    <t>LR</t>
  </si>
  <si>
    <t>LBR</t>
  </si>
  <si>
    <t>LY</t>
  </si>
  <si>
    <t>LBY</t>
  </si>
  <si>
    <t>LI</t>
  </si>
  <si>
    <t>LIE</t>
  </si>
  <si>
    <t>LT</t>
  </si>
  <si>
    <t>LTU</t>
  </si>
  <si>
    <t>LU</t>
  </si>
  <si>
    <t>LUX</t>
  </si>
  <si>
    <t>MAC</t>
  </si>
  <si>
    <t>MK</t>
  </si>
  <si>
    <t>MKD</t>
  </si>
  <si>
    <t>MG</t>
  </si>
  <si>
    <t>MDG</t>
  </si>
  <si>
    <t>MW</t>
  </si>
  <si>
    <t>MWI</t>
  </si>
  <si>
    <t>MY</t>
  </si>
  <si>
    <t>MYS</t>
  </si>
  <si>
    <t>MV</t>
  </si>
  <si>
    <t>MDV</t>
  </si>
  <si>
    <t>ML</t>
  </si>
  <si>
    <t>MLI</t>
  </si>
  <si>
    <t>MT</t>
  </si>
  <si>
    <t>MLT</t>
  </si>
  <si>
    <t>MH</t>
  </si>
  <si>
    <t>MHL</t>
  </si>
  <si>
    <t>MQ</t>
  </si>
  <si>
    <t>MTQ</t>
  </si>
  <si>
    <t>MR</t>
  </si>
  <si>
    <t>MRT</t>
  </si>
  <si>
    <t>MU</t>
  </si>
  <si>
    <t>MUS</t>
  </si>
  <si>
    <t>YT</t>
  </si>
  <si>
    <t>MYT</t>
  </si>
  <si>
    <t>MX</t>
  </si>
  <si>
    <t>FM</t>
  </si>
  <si>
    <t>FSM</t>
  </si>
  <si>
    <t>MD</t>
  </si>
  <si>
    <t>MDA</t>
  </si>
  <si>
    <t>MC</t>
  </si>
  <si>
    <t>MN</t>
  </si>
  <si>
    <t>MNG</t>
  </si>
  <si>
    <t>MSR</t>
  </si>
  <si>
    <t>MA</t>
  </si>
  <si>
    <t>MZ</t>
  </si>
  <si>
    <t>MOZ</t>
  </si>
  <si>
    <t>MM</t>
  </si>
  <si>
    <t>MMR</t>
  </si>
  <si>
    <t>NAM</t>
  </si>
  <si>
    <t>NRU</t>
  </si>
  <si>
    <t>NPL</t>
  </si>
  <si>
    <t>NL</t>
  </si>
  <si>
    <t>NLD</t>
  </si>
  <si>
    <t>AN</t>
  </si>
  <si>
    <t>ANT</t>
  </si>
  <si>
    <t>NC</t>
  </si>
  <si>
    <t>NCL</t>
  </si>
  <si>
    <t>NZ</t>
  </si>
  <si>
    <t>NZL</t>
  </si>
  <si>
    <t>NIC</t>
  </si>
  <si>
    <t>NE</t>
  </si>
  <si>
    <t>NER</t>
  </si>
  <si>
    <t>NG</t>
  </si>
  <si>
    <t>NGA</t>
  </si>
  <si>
    <t>NIU</t>
  </si>
  <si>
    <t>NF</t>
  </si>
  <si>
    <t>NFK</t>
  </si>
  <si>
    <t>MP</t>
  </si>
  <si>
    <t>MNP</t>
  </si>
  <si>
    <t>NO</t>
  </si>
  <si>
    <t>NOR</t>
  </si>
  <si>
    <t>OM</t>
  </si>
  <si>
    <t>OMN</t>
  </si>
  <si>
    <t>PK</t>
  </si>
  <si>
    <t>PAK</t>
  </si>
  <si>
    <t>PW</t>
  </si>
  <si>
    <t>PLW</t>
  </si>
  <si>
    <t>PS</t>
  </si>
  <si>
    <t>PSE</t>
  </si>
  <si>
    <t>PA</t>
  </si>
  <si>
    <t>PAN</t>
  </si>
  <si>
    <t>PNG</t>
  </si>
  <si>
    <t>PY</t>
  </si>
  <si>
    <t>PRY</t>
  </si>
  <si>
    <t>PE</t>
  </si>
  <si>
    <t>PER</t>
  </si>
  <si>
    <t>PH</t>
  </si>
  <si>
    <t>PHL</t>
  </si>
  <si>
    <t>PN</t>
  </si>
  <si>
    <t>PCN</t>
  </si>
  <si>
    <t>PT</t>
  </si>
  <si>
    <t>PRT</t>
  </si>
  <si>
    <t>PR</t>
  </si>
  <si>
    <t>PRI</t>
  </si>
  <si>
    <t>QA</t>
  </si>
  <si>
    <t>QAT</t>
  </si>
  <si>
    <t>RE</t>
  </si>
  <si>
    <t>REU</t>
  </si>
  <si>
    <t>RO</t>
  </si>
  <si>
    <t>ROU</t>
  </si>
  <si>
    <t>RU</t>
  </si>
  <si>
    <t>RUS</t>
  </si>
  <si>
    <t>RW</t>
  </si>
  <si>
    <t>RWA</t>
  </si>
  <si>
    <t>SH</t>
  </si>
  <si>
    <t>SHN</t>
  </si>
  <si>
    <t>KN</t>
  </si>
  <si>
    <t>KNA</t>
  </si>
  <si>
    <t>LC</t>
  </si>
  <si>
    <t>LCA</t>
  </si>
  <si>
    <t>SPM</t>
  </si>
  <si>
    <t>VC</t>
  </si>
  <si>
    <t>VCT</t>
  </si>
  <si>
    <t>WS</t>
  </si>
  <si>
    <t>WSM</t>
  </si>
  <si>
    <t>SM</t>
  </si>
  <si>
    <t>SMR</t>
  </si>
  <si>
    <t>STP</t>
  </si>
  <si>
    <t>SA</t>
  </si>
  <si>
    <t>SAU</t>
  </si>
  <si>
    <t>SN</t>
  </si>
  <si>
    <t>SEN</t>
  </si>
  <si>
    <t>SYC</t>
  </si>
  <si>
    <t>SL</t>
  </si>
  <si>
    <t>SLE</t>
  </si>
  <si>
    <t>SG</t>
  </si>
  <si>
    <t>SGP</t>
  </si>
  <si>
    <t>SK</t>
  </si>
  <si>
    <t>SVK</t>
  </si>
  <si>
    <t>SI</t>
  </si>
  <si>
    <t>SVN</t>
  </si>
  <si>
    <t>SB</t>
  </si>
  <si>
    <t>SLB</t>
  </si>
  <si>
    <t>SOM</t>
  </si>
  <si>
    <t>ZA</t>
  </si>
  <si>
    <t>ZAF</t>
  </si>
  <si>
    <t>SGS</t>
  </si>
  <si>
    <t>ES</t>
  </si>
  <si>
    <t>ESP</t>
  </si>
  <si>
    <t>LK</t>
  </si>
  <si>
    <t>LKA</t>
  </si>
  <si>
    <t>SDN</t>
  </si>
  <si>
    <t>SR</t>
  </si>
  <si>
    <t>SUR</t>
  </si>
  <si>
    <t>SJ</t>
  </si>
  <si>
    <t>SJM</t>
  </si>
  <si>
    <t>SZ</t>
  </si>
  <si>
    <t>SWZ</t>
  </si>
  <si>
    <t>SE</t>
  </si>
  <si>
    <t>SWE</t>
  </si>
  <si>
    <t>CH</t>
  </si>
  <si>
    <t>SY</t>
  </si>
  <si>
    <t>SYR</t>
  </si>
  <si>
    <t>TW</t>
  </si>
  <si>
    <t>TWN</t>
  </si>
  <si>
    <t>TJ</t>
  </si>
  <si>
    <t>TJK</t>
  </si>
  <si>
    <t>TZ</t>
  </si>
  <si>
    <t>TH</t>
  </si>
  <si>
    <t>THA</t>
  </si>
  <si>
    <t>TL</t>
  </si>
  <si>
    <t>TLS</t>
  </si>
  <si>
    <t>TG</t>
  </si>
  <si>
    <t>TGO</t>
  </si>
  <si>
    <t>TK</t>
  </si>
  <si>
    <t>TKL</t>
  </si>
  <si>
    <t>TO</t>
  </si>
  <si>
    <t>TON</t>
  </si>
  <si>
    <t>TT</t>
  </si>
  <si>
    <t>TTO</t>
  </si>
  <si>
    <t>TN</t>
  </si>
  <si>
    <t>TUN</t>
  </si>
  <si>
    <t>TR</t>
  </si>
  <si>
    <t>TUR</t>
  </si>
  <si>
    <t>TM</t>
  </si>
  <si>
    <t>TKM</t>
  </si>
  <si>
    <t>TC</t>
  </si>
  <si>
    <t>TCA</t>
  </si>
  <si>
    <t>TV</t>
  </si>
  <si>
    <t>TUV</t>
  </si>
  <si>
    <t>UG</t>
  </si>
  <si>
    <t>UGA</t>
  </si>
  <si>
    <t>UA</t>
  </si>
  <si>
    <t>UKR</t>
  </si>
  <si>
    <t>AE</t>
  </si>
  <si>
    <t>ARE</t>
  </si>
  <si>
    <t>GB</t>
  </si>
  <si>
    <t>GBR</t>
  </si>
  <si>
    <t>US</t>
  </si>
  <si>
    <t>USA</t>
  </si>
  <si>
    <t>UM</t>
  </si>
  <si>
    <t>UMI</t>
  </si>
  <si>
    <t>UY</t>
  </si>
  <si>
    <t>URY</t>
  </si>
  <si>
    <t>UZ</t>
  </si>
  <si>
    <t>UZB</t>
  </si>
  <si>
    <t>VU</t>
  </si>
  <si>
    <t>VUT</t>
  </si>
  <si>
    <t>VA</t>
  </si>
  <si>
    <t>VAT</t>
  </si>
  <si>
    <t>VE</t>
  </si>
  <si>
    <t>VEN</t>
  </si>
  <si>
    <t>VN</t>
  </si>
  <si>
    <t>VNM</t>
  </si>
  <si>
    <t>VG</t>
  </si>
  <si>
    <t>VGB</t>
  </si>
  <si>
    <t>VI</t>
  </si>
  <si>
    <t>VIR</t>
  </si>
  <si>
    <t>WF</t>
  </si>
  <si>
    <t>WLF</t>
  </si>
  <si>
    <t>EH</t>
  </si>
  <si>
    <t>ESH</t>
  </si>
  <si>
    <t>YE</t>
  </si>
  <si>
    <t>YEM</t>
  </si>
  <si>
    <t>ZM</t>
  </si>
  <si>
    <t>ZMB</t>
  </si>
  <si>
    <t>ZW</t>
  </si>
  <si>
    <t>ZWE</t>
  </si>
  <si>
    <t>Moody's</t>
  </si>
  <si>
    <t>S&amp;P</t>
  </si>
  <si>
    <t>P-2</t>
  </si>
  <si>
    <t>P-3</t>
  </si>
  <si>
    <t>A-2</t>
  </si>
  <si>
    <t>MIG1</t>
  </si>
  <si>
    <t>A-3</t>
  </si>
  <si>
    <t>MIG2</t>
  </si>
  <si>
    <t>SP-1</t>
  </si>
  <si>
    <t>MIG3</t>
  </si>
  <si>
    <t>SP-1+</t>
  </si>
  <si>
    <t>MIG4</t>
  </si>
  <si>
    <t>SP1+</t>
  </si>
  <si>
    <t>Non-Investment Grade</t>
  </si>
  <si>
    <t>SP-2</t>
  </si>
  <si>
    <t>SP-2+</t>
  </si>
  <si>
    <t>SP2+</t>
  </si>
  <si>
    <t>SP-3</t>
  </si>
  <si>
    <t>SP-3+</t>
  </si>
  <si>
    <t>SP3</t>
  </si>
  <si>
    <t>R</t>
  </si>
  <si>
    <t>AUCT</t>
  </si>
  <si>
    <t>CIND</t>
  </si>
  <si>
    <t>OIND</t>
  </si>
  <si>
    <t>Link:</t>
  </si>
  <si>
    <t>Bloomberg Page CACT ---&gt; Custom may start to show Sovereign Default Events</t>
  </si>
  <si>
    <t>Country Name</t>
  </si>
  <si>
    <t>CRC Previous</t>
  </si>
  <si>
    <t>CRC Current Prevailing</t>
  </si>
  <si>
    <t>Last Default</t>
  </si>
  <si>
    <t>Afghanistan</t>
  </si>
  <si>
    <t>Albania</t>
  </si>
  <si>
    <t>Algeria</t>
  </si>
  <si>
    <t>American Samoa</t>
  </si>
  <si>
    <t>Andorra</t>
  </si>
  <si>
    <t>Angola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</si>
  <si>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</si>
  <si>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</si>
  <si>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</si>
  <si>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</si>
  <si>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</si>
  <si>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</si>
  <si>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</si>
  <si>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</si>
  <si>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</si>
  <si>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</si>
  <si>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</si>
  <si>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</si>
  <si>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</si>
  <si>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</si>
  <si>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</si>
  <si>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</si>
  <si>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</si>
  <si>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</si>
  <si>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</si>
  <si>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</si>
  <si>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</si>
  <si>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Bulgaria</t>
  </si>
  <si>
    <t>Burkina Faso</t>
  </si>
  <si>
    <t>Burundi</t>
  </si>
  <si>
    <t>Cambodia</t>
  </si>
  <si>
    <t>Cameroon</t>
  </si>
  <si>
    <t>Canada</t>
  </si>
  <si>
    <t>Cape Verde</t>
  </si>
  <si>
    <t>Cayman Islands</t>
  </si>
  <si>
    <t>Central African Republic</t>
  </si>
  <si>
    <t>Chad</t>
  </si>
  <si>
    <t>Chile</t>
  </si>
  <si>
    <t>China</t>
  </si>
  <si>
    <t>Chinese Taipei</t>
  </si>
  <si>
    <t>Colombia</t>
  </si>
  <si>
    <t>Comoros</t>
  </si>
  <si>
    <t>Congo, Dem. Rep.</t>
  </si>
  <si>
    <t>Costa Rica</t>
  </si>
  <si>
    <t>Côte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</si>
  <si>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</si>
  <si>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</si>
  <si>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</si>
  <si>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</si>
  <si>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</si>
  <si>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</si>
  <si>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</si>
  <si>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</si>
  <si>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</si>
  <si>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</si>
  <si>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</si>
  <si>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</si>
  <si>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</si>
  <si>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</si>
  <si>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</si>
  <si>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Faroe Islands</t>
  </si>
  <si>
    <t>Fiji</t>
  </si>
  <si>
    <t>Finland</t>
  </si>
  <si>
    <t>France</t>
  </si>
  <si>
    <t>French Polynesia</t>
  </si>
  <si>
    <t>Gabon</t>
  </si>
  <si>
    <t>Gambia</t>
  </si>
  <si>
    <t>Georgia</t>
  </si>
  <si>
    <t>Germany</t>
  </si>
  <si>
    <t>Ghana</t>
  </si>
  <si>
    <t>Greece</t>
  </si>
  <si>
    <t>Greenland</t>
  </si>
  <si>
    <t>Grenada</t>
  </si>
  <si>
    <t>Guam</t>
  </si>
  <si>
    <t>Guatemala</t>
  </si>
  <si>
    <t>Guinea</t>
  </si>
  <si>
    <t>Guinea-Bissau</t>
  </si>
  <si>
    <t>Guyana</t>
  </si>
  <si>
    <t>Haiti</t>
  </si>
  <si>
    <t>Honduras</t>
  </si>
  <si>
    <t>Hong Kong, China</t>
  </si>
  <si>
    <t>Hungary</t>
  </si>
  <si>
    <t>Iceland</t>
  </si>
  <si>
    <t>India</t>
  </si>
  <si>
    <t>Indonesia</t>
  </si>
  <si>
    <t>Iran</t>
  </si>
  <si>
    <t>Iraq</t>
  </si>
  <si>
    <t>Ireland</t>
  </si>
  <si>
    <t>Isle of Man</t>
  </si>
  <si>
    <t>Israel</t>
  </si>
  <si>
    <t>Italy</t>
  </si>
  <si>
    <t>Jamaica</t>
  </si>
  <si>
    <t>Japan</t>
  </si>
  <si>
    <t>Jordan</t>
  </si>
  <si>
    <t>Kazakhstan</t>
  </si>
  <si>
    <t>Kenya</t>
  </si>
  <si>
    <t>Kiribati</t>
  </si>
  <si>
    <t>Korea</t>
  </si>
  <si>
    <t>Korea, Dem. Rep. (North)</t>
  </si>
  <si>
    <t>KSV</t>
  </si>
  <si>
    <t>Kuwait</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</si>
  <si>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</si>
  <si>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</si>
  <si>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</si>
  <si>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</si>
  <si>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</si>
  <si>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</si>
  <si>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</si>
  <si>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</si>
  <si>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</si>
  <si>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</si>
  <si>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</si>
  <si>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</si>
  <si>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</si>
  <si>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</si>
  <si>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</si>
  <si>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</si>
  <si>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</si>
  <si>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</si>
  <si>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Mayotte</t>
  </si>
  <si>
    <t>Mexico</t>
  </si>
  <si>
    <t>Moldova</t>
  </si>
  <si>
    <t>Monaco</t>
  </si>
  <si>
    <t>Mongolia</t>
  </si>
  <si>
    <t>MNE</t>
  </si>
  <si>
    <t>Montenegro</t>
  </si>
  <si>
    <t>Morocco</t>
  </si>
  <si>
    <t>Mozambique</t>
  </si>
  <si>
    <t>Myanmar</t>
  </si>
  <si>
    <t>Namibia</t>
  </si>
  <si>
    <t>Nepal</t>
  </si>
  <si>
    <t>Netherlands</t>
  </si>
  <si>
    <t>New Caledonia</t>
  </si>
  <si>
    <t>New Zealand</t>
  </si>
  <si>
    <t>Nicaragua</t>
  </si>
  <si>
    <t>Niger</t>
  </si>
  <si>
    <t>Nigeria</t>
  </si>
  <si>
    <t>Northern Mariana Islands</t>
  </si>
  <si>
    <t>Norway</t>
  </si>
  <si>
    <t>Oman</t>
  </si>
  <si>
    <t>Pakistan</t>
  </si>
  <si>
    <t>Palau</t>
  </si>
  <si>
    <t>Panama</t>
  </si>
  <si>
    <t>Papua New Guinea</t>
  </si>
  <si>
    <t>Paraguay</t>
  </si>
  <si>
    <t>Peru</t>
  </si>
  <si>
    <t>Philippines</t>
  </si>
  <si>
    <t>Poland</t>
  </si>
  <si>
    <t>Portugal</t>
  </si>
  <si>
    <t>Puerto Rico</t>
  </si>
  <si>
    <t>Qatar</t>
  </si>
  <si>
    <t>Romania</t>
  </si>
  <si>
    <t>Russian Federation</t>
  </si>
  <si>
    <t>Rwanda</t>
  </si>
  <si>
    <t>Samoa</t>
  </si>
  <si>
    <t>San Marino</t>
  </si>
  <si>
    <t>Sao Tome and Principe</t>
  </si>
  <si>
    <t>Saudi Arabia</t>
  </si>
  <si>
    <t>Senegal</t>
  </si>
  <si>
    <t>SRB</t>
  </si>
  <si>
    <t>Serbia</t>
  </si>
  <si>
    <t>Seychelles</t>
  </si>
  <si>
    <t>Sierra Leone</t>
  </si>
  <si>
    <t>Singapore</t>
  </si>
  <si>
    <t>Slovak Republic</t>
  </si>
  <si>
    <t>Slovenia</t>
  </si>
  <si>
    <t>Solomon Islands</t>
  </si>
  <si>
    <t>Somalia</t>
  </si>
  <si>
    <t>South Africa</t>
  </si>
  <si>
    <t>Spain</t>
  </si>
  <si>
    <t>Sri Lanka</t>
  </si>
  <si>
    <t>Sudan</t>
  </si>
  <si>
    <t>Suriname</t>
  </si>
  <si>
    <t>Swaziland</t>
  </si>
  <si>
    <t>Sweden</t>
  </si>
  <si>
    <t>Switzerland</t>
  </si>
  <si>
    <t>Syria</t>
  </si>
  <si>
    <t>Tajikistan</t>
  </si>
  <si>
    <t>Tanzania</t>
  </si>
  <si>
    <t>Thailand</t>
  </si>
  <si>
    <t>Timor-Leste</t>
  </si>
  <si>
    <t>Togo</t>
  </si>
  <si>
    <t>Tonga</t>
  </si>
  <si>
    <t>Trinidad and Tobago</t>
  </si>
  <si>
    <t>Tunisia</t>
  </si>
  <si>
    <t>Turkey</t>
  </si>
  <si>
    <t>Turkmenistan</t>
  </si>
  <si>
    <t>U.S. Virgin Islands</t>
  </si>
  <si>
    <t>Uganda</t>
  </si>
  <si>
    <t>Ukraine</t>
  </si>
  <si>
    <t>United Arab Emirates</t>
  </si>
  <si>
    <t>United Kingdom</t>
  </si>
  <si>
    <t>United States</t>
  </si>
  <si>
    <t>Uruguay</t>
  </si>
  <si>
    <t>Uzbekistan</t>
  </si>
  <si>
    <t>Vanuatu</t>
  </si>
  <si>
    <t>Venezuela</t>
  </si>
  <si>
    <t>Viet Nam</t>
  </si>
  <si>
    <t>Yemen</t>
  </si>
  <si>
    <t>Zambia</t>
  </si>
  <si>
    <t>Zimbabwe</t>
  </si>
  <si>
    <t>http://www.oecd.org/tad/xcred/crc.htm</t>
  </si>
  <si>
    <t>Brunei Darussalam</t>
  </si>
  <si>
    <t>Congo, Rep.</t>
  </si>
  <si>
    <t>Former Yugoslav Republic of Macedonia (FYROM)</t>
  </si>
  <si>
    <t>Kosovo</t>
  </si>
  <si>
    <t>Kyrgyz Republic</t>
  </si>
  <si>
    <t>Macao (China)</t>
  </si>
  <si>
    <t>Micronesia, Federated States</t>
  </si>
  <si>
    <t>Nauru</t>
  </si>
  <si>
    <t>SXM</t>
  </si>
  <si>
    <t>Sint Maarten (Dutch part)</t>
  </si>
  <si>
    <t>South Sudan</t>
  </si>
  <si>
    <t>SSD</t>
  </si>
  <si>
    <t>St. Kitts and Nevis</t>
  </si>
  <si>
    <t>St. Lucia</t>
  </si>
  <si>
    <t>St. Vincent and the Grenadines</t>
  </si>
  <si>
    <t>Tuvalu</t>
  </si>
  <si>
    <t>West Bank and Gaza Strip</t>
  </si>
  <si>
    <t>Virgin Islands (British)</t>
  </si>
  <si>
    <t>Aaland Islands</t>
  </si>
  <si>
    <t>Anguilla</t>
  </si>
  <si>
    <t>Antarctica</t>
  </si>
  <si>
    <t>Bouvet Island</t>
  </si>
  <si>
    <t>British Indian Ocean Territory</t>
  </si>
  <si>
    <t>Christmas Island</t>
  </si>
  <si>
    <t>Cocos (Keeling) Islands</t>
  </si>
  <si>
    <t>Cook Islands</t>
  </si>
  <si>
    <t>Falkland Islands (Malvinas)</t>
  </si>
  <si>
    <t>French Guiana</t>
  </si>
  <si>
    <t>French Southern Territories</t>
  </si>
  <si>
    <t>Gibraltar</t>
  </si>
  <si>
    <t>Guadeloupe</t>
  </si>
  <si>
    <t>Heard And Mc Donald Islands</t>
  </si>
  <si>
    <t>Martinique</t>
  </si>
  <si>
    <t>Montserrat</t>
  </si>
  <si>
    <t>Netherlands Antilles</t>
  </si>
  <si>
    <t>Niue</t>
  </si>
  <si>
    <t>Norfolk Island</t>
  </si>
  <si>
    <t>Pitcairn</t>
  </si>
  <si>
    <t>Reunion</t>
  </si>
  <si>
    <t>Saint Helena</t>
  </si>
  <si>
    <t>Saint Pierre And Miquelon</t>
  </si>
  <si>
    <t>Serbia And Montenegro</t>
  </si>
  <si>
    <t>South Georgia And The South Sandwich Islands</t>
  </si>
  <si>
    <t>Svalbard And Jan Mayen Islands</t>
  </si>
  <si>
    <t>Tokelau</t>
  </si>
  <si>
    <t>Turks And Caicos Islands</t>
  </si>
  <si>
    <t>United States Minor Outlying Islands</t>
  </si>
  <si>
    <t>Vatican City State (Holy See)</t>
  </si>
  <si>
    <t>Wallis And Futuna Islands</t>
  </si>
  <si>
    <t>Western Sahara</t>
  </si>
  <si>
    <t>Jersey</t>
  </si>
  <si>
    <t>Guernsey</t>
  </si>
  <si>
    <t>As of date:</t>
  </si>
  <si>
    <t>VI.a.CR2.InsufficientInfo</t>
  </si>
  <si>
    <t>VI.a.CR3.InsufficientInfo</t>
  </si>
  <si>
    <t>VI.a.CR1.InsufficientInfo.T1</t>
  </si>
  <si>
    <t>VI.a.CR1.InsufficientInfo.T2</t>
  </si>
  <si>
    <t>VI.a.CR1.InsufficientInfo.T3</t>
  </si>
  <si>
    <t>Product Type</t>
  </si>
  <si>
    <t>SECURITY_TYP</t>
  </si>
  <si>
    <t>MTG_DEAL_TYP</t>
  </si>
  <si>
    <t>MTG_COLLAT_TYP</t>
  </si>
  <si>
    <t>MTG_COMPLIANCE_CODE</t>
  </si>
  <si>
    <t>MTG_TYP</t>
  </si>
  <si>
    <t>MTG_CRED_ENHANC</t>
  </si>
  <si>
    <t>ORIG_CREDIT_SUPPORT</t>
  </si>
  <si>
    <t>RTG_MOODY</t>
  </si>
  <si>
    <t>RTG_SP</t>
  </si>
  <si>
    <t>MTG_TRANCHE_TYP_LONG</t>
  </si>
  <si>
    <t>COUNTRY_ISO</t>
  </si>
  <si>
    <t>INDUSTRY_GROUP</t>
  </si>
  <si>
    <t>MUNI_ISSUE_TYP</t>
  </si>
  <si>
    <t>INDUSTRY_SECTOR</t>
  </si>
  <si>
    <t>IS_SUBORDINATED</t>
  </si>
  <si>
    <t>TICKER</t>
  </si>
  <si>
    <t>MARKET_STATUS</t>
  </si>
  <si>
    <t>TRAIL_12M_EBITDA</t>
  </si>
  <si>
    <t>EQY_SH_OUT</t>
  </si>
  <si>
    <t>LAST_PRICE</t>
  </si>
  <si>
    <t>Missing Rating</t>
  </si>
  <si>
    <t>Cleaned Moody's Rating</t>
  </si>
  <si>
    <t>Cleaned S&amp;P Rating</t>
  </si>
  <si>
    <t>Month_end_1</t>
  </si>
  <si>
    <t>Month_end_2</t>
  </si>
  <si>
    <t>Month_end_3</t>
  </si>
  <si>
    <t>Month_end_4</t>
  </si>
  <si>
    <t>Month_end_5</t>
  </si>
  <si>
    <t>Month_end_6</t>
  </si>
  <si>
    <t>Month_end_7</t>
  </si>
  <si>
    <t>Month_end_8</t>
  </si>
  <si>
    <t>Month_end_9</t>
  </si>
  <si>
    <t>Month_end_10</t>
  </si>
  <si>
    <t>Month_end_11</t>
  </si>
  <si>
    <t>Month_end_12</t>
  </si>
  <si>
    <t>SECURITY_TYP2</t>
  </si>
  <si>
    <t>If this market is closed on this month-end weekdate</t>
  </si>
  <si>
    <t>Use this date instead to look up stock prices</t>
  </si>
  <si>
    <t>Tips: Use this table for month-end Good Fridays, or any unexpected closure of stock market occuring on month-ends</t>
  </si>
  <si>
    <t>ME</t>
  </si>
  <si>
    <t>RS</t>
  </si>
  <si>
    <t>SX</t>
  </si>
  <si>
    <t>SS</t>
  </si>
  <si>
    <t>??</t>
  </si>
  <si>
    <t>Country Code ISO 3</t>
  </si>
  <si>
    <t>Country Code ISO 2</t>
  </si>
  <si>
    <t>#N/A Invalid Security</t>
  </si>
  <si>
    <t>Insufficient Info</t>
  </si>
  <si>
    <t>BS_TOT_LIAB2</t>
  </si>
  <si>
    <t>Sovereign</t>
  </si>
  <si>
    <t>I</t>
  </si>
  <si>
    <t>V</t>
  </si>
  <si>
    <t>IV</t>
  </si>
  <si>
    <t>Supranational</t>
  </si>
  <si>
    <t>GSE</t>
  </si>
  <si>
    <t>Bank</t>
  </si>
  <si>
    <t>Corporate</t>
  </si>
  <si>
    <t>Securitization</t>
  </si>
  <si>
    <t>Mortgage I/O</t>
  </si>
  <si>
    <t>N</t>
  </si>
  <si>
    <t>RAT Pershing Interest Rate Standard Charge</t>
  </si>
  <si>
    <t>Pershing</t>
  </si>
  <si>
    <t>Business Rules for Interest Rate Standard Charge (per RAT Pershing)</t>
  </si>
  <si>
    <t>Common Stock</t>
  </si>
  <si>
    <t>Common Stock American Depository Receipt</t>
  </si>
  <si>
    <t>Preferred Stock</t>
  </si>
  <si>
    <t>Preferred Stock American Depository Receipt</t>
  </si>
  <si>
    <t>Preferred Stock Convertible</t>
  </si>
  <si>
    <t>Preferred Stock Convertible American</t>
  </si>
  <si>
    <t>Unit Investment Trust Closed-End Taxable</t>
  </si>
  <si>
    <t>Unit Investment Trust Closed-End</t>
  </si>
  <si>
    <t>Mutual Funds Open-End Nontaxable</t>
  </si>
  <si>
    <t>Mutual Funds Open-End Taxable</t>
  </si>
  <si>
    <t>Mutual Funds No-Load Nontaxable</t>
  </si>
  <si>
    <t>Mutual Funds No-Load Taxable</t>
  </si>
  <si>
    <t>Nostro</t>
  </si>
  <si>
    <t>Rich Moogan's REMICs positions are treated with 100% de minimis charge (although appearing in RAT Pershing), but in a separate calculation.</t>
  </si>
  <si>
    <t>Using repaired CUSIP and the MTGE Bloomberg Major Product Description Mnemonic assigned, one can obtain Bloomberg data using BDP/BDH formula on the right side of tab "RAT Pershing with BBG Data"</t>
  </si>
  <si>
    <t>Instrument Type Excluded</t>
  </si>
  <si>
    <t>FEDERAL HOME LN MTG</t>
  </si>
  <si>
    <t>FHLMC MULTICLASS MTG</t>
  </si>
  <si>
    <t>FNMA GTD MTG PASS</t>
  </si>
  <si>
    <t>FNMA GTD REMIC PASS</t>
  </si>
  <si>
    <t>FNMA STRIPPED MTG</t>
  </si>
  <si>
    <t>FHLMC REMIC</t>
  </si>
  <si>
    <t>FNMA INTEREST ONLY</t>
  </si>
  <si>
    <t>FNMA INVERSE FLTR</t>
  </si>
  <si>
    <t>FNMA REMIC</t>
  </si>
  <si>
    <t>GNMA REMIC</t>
  </si>
  <si>
    <t>SubInstrument Type Excluded</t>
  </si>
  <si>
    <t>PershingEquity</t>
  </si>
  <si>
    <t xml:space="preserve">   </t>
  </si>
  <si>
    <t>EGP</t>
  </si>
  <si>
    <t>OTC</t>
  </si>
  <si>
    <t>NOK</t>
  </si>
  <si>
    <t>MUR</t>
  </si>
  <si>
    <t>OAS Bond</t>
  </si>
  <si>
    <t>PershingBond</t>
  </si>
  <si>
    <t>Certificate of Deposit - Long Term</t>
  </si>
  <si>
    <t>CorporateBond_NonConvertibleDomestic*PershingBond*Pershing</t>
  </si>
  <si>
    <t>OTC/NSCC</t>
  </si>
  <si>
    <t>Cash Model</t>
  </si>
  <si>
    <t>USD99999</t>
  </si>
  <si>
    <t>EquityNostro*PershingEquity*Pershing</t>
  </si>
  <si>
    <t>Pershing|91015|NA|9101530149_CUSD99999|B|10 |   |</t>
  </si>
  <si>
    <t>BondNostro*PershingBond*Pershing</t>
  </si>
  <si>
    <t>Pershing|91017|NA|9101704068_CUSD99999|S|10 |   |</t>
  </si>
  <si>
    <t>Pershing|91017|NA|9101704141_CUSD99999|B|10 |   |</t>
  </si>
  <si>
    <t>Pershing|91017|NA|9101704148_CUSD99999|S|10 |   |</t>
  </si>
  <si>
    <t>Pershing|91017|NA|9101707031_CUSD99999|B|10 |   |</t>
  </si>
  <si>
    <t>Pershing|91017|NA|9101707038_CUSD99999|S|10 |   |</t>
  </si>
  <si>
    <t>Pershing|91017|NA|9101707111_CUSD99999|B|10 |   |</t>
  </si>
  <si>
    <t>Pershing|91017|NA|9101707118_CUSD99999|S|10 |   |</t>
  </si>
  <si>
    <t>Pershing|91017|NA|9101709011_CUSD99999|B|10 |   |</t>
  </si>
  <si>
    <t>Pershing|91017|NA|9101709018_CUSD99999|S|10 |   |</t>
  </si>
  <si>
    <t>Pershing|91017|NA|9101709191_CUSD99999|B|10 |   |</t>
  </si>
  <si>
    <t>Pershing|91017|NA|9101709198_CUSD99999|S|10 |   |</t>
  </si>
  <si>
    <t>Pershing|91017|NA|9101709271_CEUR99999|B|10 |   |</t>
  </si>
  <si>
    <t>EUR</t>
  </si>
  <si>
    <t>EUR99999</t>
  </si>
  <si>
    <t>Pershing|91017|NA|9101709271_CUSD99999|B|10 |   |</t>
  </si>
  <si>
    <t>Pershing|91017|NA|9101709278_CUSD99999|B|10 |   |</t>
  </si>
  <si>
    <t>AUD</t>
  </si>
  <si>
    <t>AUD99999</t>
  </si>
  <si>
    <t>CAD</t>
  </si>
  <si>
    <t>CAD99999</t>
  </si>
  <si>
    <t>Pershing|91017|NA|9101709921_CUSD99999|B|10 |   |</t>
  </si>
  <si>
    <t>Pershing|91017|NA|9101709928_CUSD99999|B|10 |   |</t>
  </si>
  <si>
    <t>Pershing|91017|NA|9101723038_CUSD99999|B|10 |   |</t>
  </si>
  <si>
    <t>Pershing|91017|NA|9101727091_CUSD99999|S|10 |   |</t>
  </si>
  <si>
    <t>Pershing|91017|NA|9101727098_CUSD99999|B|10 |   |</t>
  </si>
  <si>
    <t>Pershing|91590|NA|9159000051_CAED99999|B|10 |   |</t>
  </si>
  <si>
    <t>AED</t>
  </si>
  <si>
    <t>AED99999</t>
  </si>
  <si>
    <t>Pershing|91590|NA|9159000051_CARS99999|B|10 |   |</t>
  </si>
  <si>
    <t>ARS</t>
  </si>
  <si>
    <t>ARS99999</t>
  </si>
  <si>
    <t>Pershing|91590|NA|9159000051_CBDT99999|B|10 |   |</t>
  </si>
  <si>
    <t>BDT</t>
  </si>
  <si>
    <t>BDT99999</t>
  </si>
  <si>
    <t>Pershing|91590|NA|9159000051_CBGN99999|B|10 |   |</t>
  </si>
  <si>
    <t>BGN</t>
  </si>
  <si>
    <t>BGN99999</t>
  </si>
  <si>
    <t>Pershing|91590|NA|9159000051_CBMD99999|B|10 |   |</t>
  </si>
  <si>
    <t>BMD</t>
  </si>
  <si>
    <t>BMD99999</t>
  </si>
  <si>
    <t>Pershing|91590|NA|9159000051_CBRL99999|B|10 |   |</t>
  </si>
  <si>
    <t>BRL</t>
  </si>
  <si>
    <t>BRL99999</t>
  </si>
  <si>
    <t>CHF</t>
  </si>
  <si>
    <t>CHF99999</t>
  </si>
  <si>
    <t>Pershing|91590|NA|9159000051_CCLP99999|B|10 |   |</t>
  </si>
  <si>
    <t>CLP</t>
  </si>
  <si>
    <t>CLP99999</t>
  </si>
  <si>
    <t>Pershing|91590|NA|9159000051_CCNY99999|B|10 |   |</t>
  </si>
  <si>
    <t>CNY</t>
  </si>
  <si>
    <t>CNY99999</t>
  </si>
  <si>
    <t>Pershing|91590|NA|9159000051_CCZK99999|B|10 |   |</t>
  </si>
  <si>
    <t>CZK</t>
  </si>
  <si>
    <t>CZK99999</t>
  </si>
  <si>
    <t>Pershing|91590|NA|9159000051_CDKK99999|B|10 |   |</t>
  </si>
  <si>
    <t>DKK</t>
  </si>
  <si>
    <t>DKK99999</t>
  </si>
  <si>
    <t>Pershing|91590|NA|9159000051_CEGP99999|B|10 |   |</t>
  </si>
  <si>
    <t>EGP99999</t>
  </si>
  <si>
    <t>GBP</t>
  </si>
  <si>
    <t>GBP99999</t>
  </si>
  <si>
    <t>HKD</t>
  </si>
  <si>
    <t>HKD99999</t>
  </si>
  <si>
    <t>Pershing|91590|NA|9159000051_CHRK99999|B|10 |   |</t>
  </si>
  <si>
    <t>HRK</t>
  </si>
  <si>
    <t>HRK99999</t>
  </si>
  <si>
    <t>HUF</t>
  </si>
  <si>
    <t>HUF99999</t>
  </si>
  <si>
    <t>Pershing|91590|NA|9159000051_CIDR99999|B|10 |   |</t>
  </si>
  <si>
    <t>IDR</t>
  </si>
  <si>
    <t>IDR99999</t>
  </si>
  <si>
    <t>ILS</t>
  </si>
  <si>
    <t>ILS99999</t>
  </si>
  <si>
    <t>ISK</t>
  </si>
  <si>
    <t>ISK99999</t>
  </si>
  <si>
    <t>JPY</t>
  </si>
  <si>
    <t>JPY99999</t>
  </si>
  <si>
    <t>Pershing|91590|NA|9159000051_CKRW99999|B|10 |   |</t>
  </si>
  <si>
    <t>KRW</t>
  </si>
  <si>
    <t>KRW99999</t>
  </si>
  <si>
    <t>Pershing|91590|NA|9159000051_CLKR99999|B|10 |   |</t>
  </si>
  <si>
    <t>LKR</t>
  </si>
  <si>
    <t>LKR99999</t>
  </si>
  <si>
    <t>Pershing|91590|NA|9159000051_CLTL99999|B|10 |   |</t>
  </si>
  <si>
    <t>LTL</t>
  </si>
  <si>
    <t>LTL99999</t>
  </si>
  <si>
    <t>Pershing|91590|NA|9159000051_CMAD99999|B|10 |   |</t>
  </si>
  <si>
    <t>MAD</t>
  </si>
  <si>
    <t>MAD99999</t>
  </si>
  <si>
    <t>Pershing|91590|NA|9159000051_CMUR99999|B|10 |   |</t>
  </si>
  <si>
    <t>MUR99999</t>
  </si>
  <si>
    <t>MXN</t>
  </si>
  <si>
    <t>MXN99999</t>
  </si>
  <si>
    <t>Pershing|91590|NA|9159000051_CMYR99999|B|10 |   |</t>
  </si>
  <si>
    <t>MYR</t>
  </si>
  <si>
    <t>MYR99999</t>
  </si>
  <si>
    <t>Pershing|91590|NA|9159000051_CNAD99999|B|10 |   |</t>
  </si>
  <si>
    <t>NAD</t>
  </si>
  <si>
    <t>NAD99999</t>
  </si>
  <si>
    <t>NOK99999</t>
  </si>
  <si>
    <t>NZD</t>
  </si>
  <si>
    <t>NZD99999</t>
  </si>
  <si>
    <t>Pershing|91590|NA|9159000051_CPEN99999|B|10 |   |</t>
  </si>
  <si>
    <t>PEN</t>
  </si>
  <si>
    <t>PEN99999</t>
  </si>
  <si>
    <t>Pershing|91590|NA|9159000051_CPHP99999|B|10 |   |</t>
  </si>
  <si>
    <t>PHP</t>
  </si>
  <si>
    <t>PHP99999</t>
  </si>
  <si>
    <t>Pershing|91590|NA|9159000051_CPLN99999|B|10 |   |</t>
  </si>
  <si>
    <t>PLN</t>
  </si>
  <si>
    <t>PLN99999</t>
  </si>
  <si>
    <t>Pershing|91590|NA|9159000051_CRON99999|B|10 |   |</t>
  </si>
  <si>
    <t>RON</t>
  </si>
  <si>
    <t>RON99999</t>
  </si>
  <si>
    <t>Pershing|91590|NA|9159000051_CRUB99999|B|10 |   |</t>
  </si>
  <si>
    <t>RUB</t>
  </si>
  <si>
    <t>RUB99999</t>
  </si>
  <si>
    <t>SEK99999</t>
  </si>
  <si>
    <t>SGD</t>
  </si>
  <si>
    <t>SGD99999</t>
  </si>
  <si>
    <t>THB</t>
  </si>
  <si>
    <t>THB99999</t>
  </si>
  <si>
    <t>Pershing|91590|NA|9159000051_CTRY99999|B|10 |   |</t>
  </si>
  <si>
    <t>TRY</t>
  </si>
  <si>
    <t>TRY99999</t>
  </si>
  <si>
    <t>TWD</t>
  </si>
  <si>
    <t>TWD99999</t>
  </si>
  <si>
    <t>Pershing|91590|NA|9159000051_CVEF99999|B|10 |   |</t>
  </si>
  <si>
    <t>VEF</t>
  </si>
  <si>
    <t>VEF99999</t>
  </si>
  <si>
    <t>ZAR</t>
  </si>
  <si>
    <t>ZAR99999</t>
  </si>
  <si>
    <t>Pershing|91590|NA|9159000051_CZMW99999|B|10 |   |</t>
  </si>
  <si>
    <t>ZMW</t>
  </si>
  <si>
    <t>ZMW99999</t>
  </si>
  <si>
    <t>Pershing|91590|NA|9159000541_CAUD99999|B|10 |   |</t>
  </si>
  <si>
    <t>Pershing|91590|NA|9159000541_CCAD99999|B|10 |   |</t>
  </si>
  <si>
    <t>Pershing|91590|NA|9159000541_CCHF99999|B|10 |   |</t>
  </si>
  <si>
    <t>Pershing|91590|NA|9159000541_CEUR99999|B|10 |   |</t>
  </si>
  <si>
    <t>Pershing|91590|NA|9159000541_CGBP99999|B|10 |   |</t>
  </si>
  <si>
    <t>Pershing|91590|NA|9159000541_CHKD99999|B|10 |   |</t>
  </si>
  <si>
    <t>Pershing|91590|NA|9159000541_CMXN99999|B|10 |   |</t>
  </si>
  <si>
    <t>Pershing|91590|NA|9159000541_CNOK99999|B|10 |   |</t>
  </si>
  <si>
    <t>Pershing|91590|NA|9159000541_CSGD99999|B|10 |   |</t>
  </si>
  <si>
    <t>LONG TERM S&amp;L CERT OF DEPOSIT</t>
  </si>
  <si>
    <t>SHORT TERM S&amp;L CERT OF DEPOSIT</t>
  </si>
  <si>
    <t>IRUSD_Mmarket</t>
  </si>
  <si>
    <t>Pershing|91017|NA|9101704061_CMXN99999|B|10 |   |</t>
  </si>
  <si>
    <t>Pershing|91017|NA|9101704061_CNOK99999|B|10 |   |</t>
  </si>
  <si>
    <t>Pershing|91590|NA|9159000541_CUSD99999|B|10 |   |</t>
  </si>
  <si>
    <t>CORP</t>
  </si>
  <si>
    <t>At this point, RAT Pershing has only residual Fixed Income covered positions for Corporate type (Pershing CD Primary Trading). Assume Bloomberg Major Product Type CORP.</t>
  </si>
  <si>
    <t>Version 1</t>
  </si>
  <si>
    <t>Update: Need to modify rules from assuming all HIC countries with no CRC rating to have equivalent CRC rating of 0, to setting all countries with OECD membership that doesn't have CRC rating to have equivalent CRC rating of 0.</t>
  </si>
  <si>
    <t>OECD</t>
  </si>
  <si>
    <t>I.OECD</t>
  </si>
  <si>
    <t>IV.a.OECD.T1</t>
  </si>
  <si>
    <t>IV.a.OECD.T2</t>
  </si>
  <si>
    <t>IV.a.OECD.T3</t>
  </si>
  <si>
    <t>V.a.OECD.T1</t>
  </si>
  <si>
    <t>V.a.OECD.T2</t>
  </si>
  <si>
    <t>V.a.OECD.T3</t>
  </si>
  <si>
    <t>V.b.OECD.T1</t>
  </si>
  <si>
    <t>V.b.OECD.T2</t>
  </si>
  <si>
    <t>V.b.OECD.T3</t>
  </si>
  <si>
    <t>http://www.oecd.org/about/membersandpartners/</t>
  </si>
  <si>
    <t>GOLDMAN SACHS BK USA</t>
  </si>
  <si>
    <t>Pershing|91590|NA|9159000051_CEUR99999|S|10 |   |</t>
  </si>
  <si>
    <t>US DOMESTIC</t>
  </si>
  <si>
    <t>#N/A Field Not Applicable</t>
  </si>
  <si>
    <t>#N/A N/A</t>
  </si>
  <si>
    <t>Banks</t>
  </si>
  <si>
    <t>Financial</t>
  </si>
  <si>
    <t>Issuer Type</t>
  </si>
  <si>
    <t>Issuer Sub Type</t>
  </si>
  <si>
    <t>CRC Rating</t>
  </si>
  <si>
    <t>Moody's CR Level</t>
  </si>
  <si>
    <t>S&amp;P CR Level</t>
  </si>
  <si>
    <t>CR Code</t>
  </si>
  <si>
    <t>EA Code</t>
  </si>
  <si>
    <t>SV Code</t>
  </si>
  <si>
    <t>TM Code</t>
  </si>
  <si>
    <t>Risk-Weighting-Factor Code</t>
  </si>
  <si>
    <t>Risk-Weighting-Factor</t>
  </si>
  <si>
    <t>Risk-Weighting-Factor CRC Floor Code</t>
  </si>
  <si>
    <t>Risk-Weighting-Factor CRC Floor</t>
  </si>
  <si>
    <t>Final Risk-Weighting-Factor</t>
  </si>
  <si>
    <t>Absolute Theo Value</t>
  </si>
  <si>
    <t>Absolute Theo Value x Risk-Weighting-Factor</t>
  </si>
  <si>
    <t>Max Loss</t>
  </si>
  <si>
    <t>IR Standard Charge</t>
  </si>
  <si>
    <t>a</t>
  </si>
  <si>
    <t>ISO 3166-1 Alpha 2</t>
  </si>
  <si>
    <t>ISO 3166-1 Alpha 3</t>
  </si>
  <si>
    <t>Country</t>
  </si>
  <si>
    <t>Current CRC Rating</t>
  </si>
  <si>
    <t>APPLE BK FOR SVGS N</t>
  </si>
  <si>
    <t>Pershing|91017|NA|9101704061_CUSD99999|S|10 |   |</t>
  </si>
  <si>
    <t>Pershing|91017|NA|9101704221_CUSD99999|S|10 |   |</t>
  </si>
  <si>
    <t>Pershing|91590|NA|9159000051_CHKD99999|S|10 |   |</t>
  </si>
  <si>
    <t>Pershing|91590|NA|9159000051_CISK99999|S|10 |   |</t>
  </si>
  <si>
    <t>Pershing|91590|NA|9159000051_CTWD99999|B|10 |   |</t>
  </si>
  <si>
    <t>APPBNK</t>
  </si>
  <si>
    <t>ALLY BK MIDVALE UTAH</t>
  </si>
  <si>
    <t>EVERBANK</t>
  </si>
  <si>
    <t>BANK INDIA</t>
  </si>
  <si>
    <t>COMENITY CAP BK SALT</t>
  </si>
  <si>
    <t>99.793 USD</t>
  </si>
  <si>
    <t>DISCOVER BK</t>
  </si>
  <si>
    <t>99.95 USD</t>
  </si>
  <si>
    <t>99.758 USD</t>
  </si>
  <si>
    <t>Pershing|91017|NA|9101704061_CEUR99999|B|10 |   |</t>
  </si>
  <si>
    <t>Pershing|91017|NA|9101707291_CUSD99999|B|10 |   |</t>
  </si>
  <si>
    <t>Pershing|91590|NA|9159000051_CAUD99999|S|10 |   |</t>
  </si>
  <si>
    <t>Pershing|91590|NA|9159000051_CHUF99999|B|10 |   |</t>
  </si>
  <si>
    <t>Pershing|91590|NA|9159000051_CJPY99999|B|10 |   |</t>
  </si>
  <si>
    <t>Pershing|91590|NA|9159000051_CNOK99999|B|10 |   |</t>
  </si>
  <si>
    <t>Pershing|91590|NA|9159000051_CSEK99999|S|10 |   |</t>
  </si>
  <si>
    <t>Pershing|91590|NA|9159000051_CSGD99999|S|10 |   |</t>
  </si>
  <si>
    <t>GMATBK</t>
  </si>
  <si>
    <t>EVER</t>
  </si>
  <si>
    <t>BOIIN</t>
  </si>
  <si>
    <t>ADS</t>
  </si>
  <si>
    <t>DFS</t>
  </si>
  <si>
    <t>Pershing_500_505_9101709011_C02006LJX</t>
  </si>
  <si>
    <t>99.605 USD</t>
  </si>
  <si>
    <t>1.2504855694 % ANNU actual/365</t>
  </si>
  <si>
    <t>02006LJX</t>
  </si>
  <si>
    <t>Pershing_500_505_9101709011_C02006LJY</t>
  </si>
  <si>
    <t>0.8490418999 % ANNU actual/365</t>
  </si>
  <si>
    <t>02006LJY</t>
  </si>
  <si>
    <t>Pershing_500_505_9101709011_C02587CBS</t>
  </si>
  <si>
    <t>AMERICAN EXPRESS FED</t>
  </si>
  <si>
    <t>99.558593 USD</t>
  </si>
  <si>
    <t>1.5920595471 % ANNU actual/365</t>
  </si>
  <si>
    <t>02587CBS</t>
  </si>
  <si>
    <t>Pershing_500_505_9101709011_C03784JBF</t>
  </si>
  <si>
    <t>99.633 USD</t>
  </si>
  <si>
    <t>0.7357268997 % ANNU actual/365</t>
  </si>
  <si>
    <t>03784JBF</t>
  </si>
  <si>
    <t>Pershing_500_505_9101709011_C14147VED</t>
  </si>
  <si>
    <t>CARDINAL BK MCLEAN</t>
  </si>
  <si>
    <t>99.949 USD</t>
  </si>
  <si>
    <t>0.4040532489 % ANNU actual/365</t>
  </si>
  <si>
    <t>14147VED</t>
  </si>
  <si>
    <t>Pershing_500_505_9101709011_C17284CY7</t>
  </si>
  <si>
    <t>CIT BK SALT LAKE</t>
  </si>
  <si>
    <t>98.722 USD</t>
  </si>
  <si>
    <t>3.3160830674 % ANNU actual/365</t>
  </si>
  <si>
    <t>17284CY7</t>
  </si>
  <si>
    <t>Pershing_500_505_9101709011_C20033AHB</t>
  </si>
  <si>
    <t>99.074 USD</t>
  </si>
  <si>
    <t>2.1494741056 % ANNU actual/365</t>
  </si>
  <si>
    <t>20033AHB</t>
  </si>
  <si>
    <t>Pershing_500_505_9101709011_C20033AHC</t>
  </si>
  <si>
    <t>COMENITY CAP BK</t>
  </si>
  <si>
    <t>99.037 USD</t>
  </si>
  <si>
    <t>2.2659878475 % ANNU actual/365</t>
  </si>
  <si>
    <t>20033AHC</t>
  </si>
  <si>
    <t>Pershing_500_505_9101709011_C254672AZ</t>
  </si>
  <si>
    <t>99.276 USD</t>
  </si>
  <si>
    <t>2.3045379497 % ANNU actual/365</t>
  </si>
  <si>
    <t>254672AZ</t>
  </si>
  <si>
    <t>Pershing_500_505_9101709011_C254672BD</t>
  </si>
  <si>
    <t>99.69 USD</t>
  </si>
  <si>
    <t>0.8460412923 % ANNU actual/365</t>
  </si>
  <si>
    <t>254672BD</t>
  </si>
  <si>
    <t>Pershing_500_505_9101709011_C254672BH</t>
  </si>
  <si>
    <t>99.558 USD</t>
  </si>
  <si>
    <t>1.593610572 % ANNU actual/365</t>
  </si>
  <si>
    <t>254672BH</t>
  </si>
  <si>
    <t>Pershing_500_505_9101709011_C36162PAA</t>
  </si>
  <si>
    <t>GE CAP RETAIL CTF</t>
  </si>
  <si>
    <t>99.696 USD</t>
  </si>
  <si>
    <t>0.8500946884 % ANNU actual/365</t>
  </si>
  <si>
    <t>36162PAA</t>
  </si>
  <si>
    <t>Pershing_500_505_9101709011_C36162PAB</t>
  </si>
  <si>
    <t>GE CAP BK RETAIL</t>
  </si>
  <si>
    <t>99.213 USD</t>
  </si>
  <si>
    <t>1.4321524205 % ANNU actual/365</t>
  </si>
  <si>
    <t>36162PAB</t>
  </si>
  <si>
    <t>Pershing_500_505_9101709011_C36162PAC</t>
  </si>
  <si>
    <t>99.259 USD</t>
  </si>
  <si>
    <t>1.4508591899 % ANNU actual/365</t>
  </si>
  <si>
    <t>36162PAC</t>
  </si>
  <si>
    <t>Pershing_500_505_9101709011_C36162PAD</t>
  </si>
  <si>
    <t>99.175 USD</t>
  </si>
  <si>
    <t>1.7331800739 % ANNU actual/365</t>
  </si>
  <si>
    <t>36162PAD</t>
  </si>
  <si>
    <t>Pershing_500_505_9101709011_C36162PAE</t>
  </si>
  <si>
    <t>GE CAP BK INC RETAIL</t>
  </si>
  <si>
    <t>98.957 USD</t>
  </si>
  <si>
    <t>2.1778193116 % ANNU actual/365</t>
  </si>
  <si>
    <t>36162PAE</t>
  </si>
  <si>
    <t>Pershing_500_505_9101709011_C38147J6S</t>
  </si>
  <si>
    <t>99.426 USD</t>
  </si>
  <si>
    <t>1.9461006429 % ANNU actual/365</t>
  </si>
  <si>
    <t>38147J6S</t>
  </si>
  <si>
    <t>Pershing_500_505_9101709011_C38147J6U</t>
  </si>
  <si>
    <t>99.7896 USD</t>
  </si>
  <si>
    <t>1.095612861 % ANNU actual/365</t>
  </si>
  <si>
    <t>38147J6U</t>
  </si>
  <si>
    <t>Pershing_500_505_9101709011_C38147J6W</t>
  </si>
  <si>
    <t>99.566406 USD</t>
  </si>
  <si>
    <t>1.5907415301 % ANNU actual/365</t>
  </si>
  <si>
    <t>38147J6W</t>
  </si>
  <si>
    <t>Pershing_500_505_9101709011_C38147J6Z</t>
  </si>
  <si>
    <t>99.2289 USD</t>
  </si>
  <si>
    <t>2.3146125984 % ANNU actual/365</t>
  </si>
  <si>
    <t>38147J6Z</t>
  </si>
  <si>
    <t>Pershing_500_505_9101709011_C38147J7B</t>
  </si>
  <si>
    <t>99.616 USD</t>
  </si>
  <si>
    <t>1.2472454167 % ANNU actual/365</t>
  </si>
  <si>
    <t>38147J7B</t>
  </si>
  <si>
    <t>Pershing_500_505_9101709011_C795450TQ</t>
  </si>
  <si>
    <t>SALLIE MAE BK SALT</t>
  </si>
  <si>
    <t>99.8032 USD</t>
  </si>
  <si>
    <t>1.0888113484 % ANNU actual/365</t>
  </si>
  <si>
    <t>795450TQ</t>
  </si>
  <si>
    <t>Pershing_500_505_9101709011_C795450TS</t>
  </si>
  <si>
    <t>99.423 USD</t>
  </si>
  <si>
    <t>2.0475170794 % ANNU actual/365</t>
  </si>
  <si>
    <t>795450TS</t>
  </si>
  <si>
    <t>Pershing_500_505_9101709011_C856283XL</t>
  </si>
  <si>
    <t>STATE BK INDIA</t>
  </si>
  <si>
    <t>98.887 USD</t>
  </si>
  <si>
    <t>2.4804736131 % ANNU actual/365</t>
  </si>
  <si>
    <t>856283XL</t>
  </si>
  <si>
    <t>Pershing_500_506_9101709011_C06278CYS</t>
  </si>
  <si>
    <t>99.964 USD</t>
  </si>
  <si>
    <t>0.4018246248 % ANNU actual/365</t>
  </si>
  <si>
    <t>06278CYS</t>
  </si>
  <si>
    <t>Pershing_500_506_9101709011_C06278CYU</t>
  </si>
  <si>
    <t>99.988 USD</t>
  </si>
  <si>
    <t>0.4038980208 % ANNU actual/365</t>
  </si>
  <si>
    <t>06278CYU</t>
  </si>
  <si>
    <t>Pershing_500_506_9101709011_C06426R4A</t>
  </si>
  <si>
    <t>BANK OF CHINA</t>
  </si>
  <si>
    <t>99.975 USD</t>
  </si>
  <si>
    <t>0.4791095603 % ANNU actual/365</t>
  </si>
  <si>
    <t>06426R4A</t>
  </si>
  <si>
    <t>Pershing_500_506_9101709011_C06426R4C</t>
  </si>
  <si>
    <t>99.992 USD</t>
  </si>
  <si>
    <t>0.643909901 % ANNU actual/365</t>
  </si>
  <si>
    <t>06426R4C</t>
  </si>
  <si>
    <t>Pershing_500_506_9101709011_C06426R4F</t>
  </si>
  <si>
    <t>99.995 USD</t>
  </si>
  <si>
    <t>0.5408621369 % ANNU actual/365</t>
  </si>
  <si>
    <t>06426R4F</t>
  </si>
  <si>
    <t>Pershing_500_506_9101709011_C06426R4H</t>
  </si>
  <si>
    <t>0.4129225706 % ANNU actual/365</t>
  </si>
  <si>
    <t>06426R4H</t>
  </si>
  <si>
    <t>Pershing_500_506_9101709011_C225862BX</t>
  </si>
  <si>
    <t>CRESCOM BK</t>
  </si>
  <si>
    <t>99.958 USD</t>
  </si>
  <si>
    <t>0.3515130303 % ANNU actual/365</t>
  </si>
  <si>
    <t>225862BX</t>
  </si>
  <si>
    <t>Pershing_500_506_9101709011_C254672BA</t>
  </si>
  <si>
    <t>99.842 USD</t>
  </si>
  <si>
    <t>0.6444732681 % ANNU actual/365</t>
  </si>
  <si>
    <t>254672BA</t>
  </si>
  <si>
    <t>Pershing_500_506_9101709011_C254672BG</t>
  </si>
  <si>
    <t>99.8922 USD</t>
  </si>
  <si>
    <t>0.6440885676 % ANNU actual/365</t>
  </si>
  <si>
    <t>254672BG</t>
  </si>
  <si>
    <t>Pershing_500_506_9101709011_C29976DTY</t>
  </si>
  <si>
    <t>99.736 USD</t>
  </si>
  <si>
    <t>0.638764784 % ANNU actual/365</t>
  </si>
  <si>
    <t>29976DTY</t>
  </si>
  <si>
    <t>Pershing_500_506_9101709011_C38147J6Y</t>
  </si>
  <si>
    <t>0.6436773022 % ANNU actual/365</t>
  </si>
  <si>
    <t>38147J6Y</t>
  </si>
  <si>
    <t>Pershing_500_506_9101709011_C60688MJA</t>
  </si>
  <si>
    <t>MIZUHO BK USA</t>
  </si>
  <si>
    <t>100 USD</t>
  </si>
  <si>
    <t>0.2762048388 % ANNU actual/365</t>
  </si>
  <si>
    <t>60688MJA</t>
  </si>
  <si>
    <t>Pershing_500_506_9101709011_C80280JBP</t>
  </si>
  <si>
    <t>SANTANDER BK NATL</t>
  </si>
  <si>
    <t>99.962 USD</t>
  </si>
  <si>
    <t>0.4140316782 % ANNU actual/365</t>
  </si>
  <si>
    <t>80280JBP</t>
  </si>
  <si>
    <t>Pershing_500_506_9101709011_C80280JBQ</t>
  </si>
  <si>
    <t>0.4791997598 % ANNU actual/365</t>
  </si>
  <si>
    <t>80280JBQ</t>
  </si>
  <si>
    <t>Pershing_500_506_9101709011_C856283XF</t>
  </si>
  <si>
    <t>0.3897229749 % ANNU actual/365</t>
  </si>
  <si>
    <t>856283XF</t>
  </si>
  <si>
    <t>Pershing_500_506_9101709011_C856283XH</t>
  </si>
  <si>
    <t>99.987 USD</t>
  </si>
  <si>
    <t>0.3920854016 % ANNU actual/365</t>
  </si>
  <si>
    <t>856283XH</t>
  </si>
  <si>
    <t>Pershing|91590|NA|9159000051_CCAD99999|B|10 |   |</t>
  </si>
  <si>
    <t>Pershing|91590|NA|9159000051_CCHF99999|S|10 |   |</t>
  </si>
  <si>
    <t>Pershing|91590|NA|9159000051_CGBP99999|B|10 |   |</t>
  </si>
  <si>
    <t>Pershing|91590|NA|9159000051_CILS99999|B|10 |   |</t>
  </si>
  <si>
    <t>Pershing|91590|NA|9159000051_CMXN99999|S|10 |   |</t>
  </si>
  <si>
    <t>Pershing|91590|NA|9159000051_CNZD99999|B|10 |   |</t>
  </si>
  <si>
    <t>Pershing|91590|NA|9159000051_CTHB99999|B|10 |   |</t>
  </si>
  <si>
    <t>Pershing|91590|NA|9159000051_CUSD99999|S|10 |   |</t>
  </si>
  <si>
    <t>Pershing|91590|NA|9159000051_CZAR99999|B|10 |   |</t>
  </si>
  <si>
    <t>Pershing|91590|NA|9159004431_CSGD99999|B|10 |   |</t>
  </si>
  <si>
    <t>AXP</t>
  </si>
  <si>
    <t>CFNL</t>
  </si>
  <si>
    <t>CITBAK</t>
  </si>
  <si>
    <t>SALLMA</t>
  </si>
  <si>
    <t>SBIIN</t>
  </si>
  <si>
    <t>BCHINA</t>
  </si>
  <si>
    <t>CSBKSC</t>
  </si>
  <si>
    <t>MIZUHO</t>
  </si>
  <si>
    <t>SOV</t>
  </si>
  <si>
    <t>As of Q3 2014, no further netting is performed on RAT Pershing records. The feed to ALGO are already in the form of aggregated positions per CUSIP per Pershing account.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</si>
</sst>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mm/dd/yy;@"/>
    <numFmt numFmtId="165" formatCode="_(* #,##0_);_(* \(#,##0\);_(* &quot;-&quot;??_);_(@_)"/>
  </numFmts>
  <fonts count="23" x14ac:knownFonts="1">
    <font>
      <sz val="11"/>
      <color theme="1"/>
      <name val="Calibri"/>
      <family val="2"/>
      <scheme val="minor"/>
    </font>
    <font>
      <b/>
      <sz val="11"/>
      <color theme="1"/>
      <name val="Calibri"/>
      <family val="2"/>
      <scheme val="minor"/>
    </font>
    <font>
      <b/>
      <sz val="10"/>
      <name val="Arial"/>
      <family val="2"/>
    </font>
    <font>
      <b/>
      <sz val="18"/>
      <color theme="1"/>
      <name val="Calibri"/>
      <family val="2"/>
      <scheme val="minor"/>
    </font>
    <font>
      <sz val="11"/>
      <color theme="1"/>
      <name val="Calibri"/>
      <family val="2"/>
      <scheme val="minor"/>
    </font>
    <font>
      <b/>
      <sz val="11"/>
      <name val="Calibri"/>
      <family val="2"/>
      <scheme val="minor"/>
    </font>
    <font>
      <sz val="11"/>
      <color rgb="FFFF0000"/>
      <name val="Calibri"/>
      <family val="2"/>
      <scheme val="minor"/>
    </font>
    <font>
      <sz val="10"/>
      <name val="Arial"/>
      <family val="2"/>
    </font>
    <font>
      <sz val="10"/>
      <color theme="1"/>
      <name val="Arial"/>
      <family val="2"/>
    </font>
    <font>
      <b/>
      <sz val="16"/>
      <name val="Arial"/>
      <family val="2"/>
    </font>
    <font>
      <sz val="10"/>
      <color rgb="FFFF0000"/>
      <name val="Arial"/>
      <family val="2"/>
    </font>
    <font>
      <b/>
      <sz val="10"/>
      <color indexed="8"/>
      <name val="Arial"/>
      <family val="2"/>
    </font>
    <font>
      <sz val="10"/>
      <color indexed="10"/>
      <name val="Arial"/>
      <family val="2"/>
    </font>
    <font>
      <sz val="11"/>
      <color theme="1"/>
      <name val="Arial"/>
      <family val="2"/>
    </font>
    <font>
      <b/>
      <sz val="11"/>
      <color indexed="8"/>
      <name val="Arial"/>
      <family val="2"/>
    </font>
    <font>
      <sz val="11"/>
      <color indexed="8"/>
      <name val="Arial"/>
      <family val="2"/>
    </font>
    <font>
      <sz val="11"/>
      <color indexed="10"/>
      <name val="Arial"/>
      <family val="2"/>
    </font>
    <font>
      <sz val="9"/>
      <color theme="1"/>
      <name val="Arial"/>
      <family val="2"/>
    </font>
    <font>
      <b/>
      <sz val="9"/>
      <color indexed="8"/>
      <name val="Arial"/>
      <family val="2"/>
    </font>
    <font>
      <b/>
      <sz val="9"/>
      <color theme="1"/>
      <name val="Arial"/>
      <family val="2"/>
    </font>
    <font>
      <b/>
      <sz val="10"/>
      <color theme="1"/>
      <name val="Arial"/>
      <family val="2"/>
    </font>
    <font>
      <u/>
      <sz val="10"/>
      <color indexed="12"/>
      <name val="Arial"/>
      <family val="2"/>
    </font>
    <font>
      <sz val="10"/>
      <color theme="4" tint="-0.249977111117893"/>
      <name val="Arial"/>
      <family val="2"/>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A4A00C"/>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FFFFAB"/>
        <bgColor indexed="64"/>
      </patternFill>
    </fill>
    <fill>
      <patternFill patternType="solid">
        <fgColor rgb="FFFFFF85"/>
        <bgColor indexed="64"/>
      </patternFill>
    </fill>
    <fill>
      <patternFill patternType="solid">
        <fgColor rgb="FFF6F000"/>
        <bgColor indexed="64"/>
      </patternFill>
    </fill>
    <fill>
      <patternFill patternType="solid">
        <fgColor rgb="FFFFFA37"/>
        <bgColor indexed="64"/>
      </patternFill>
    </fill>
  </fills>
  <borders count="25">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5">
    <xf numFmtId="0" fontId="0" fillId="0" borderId="0"/>
    <xf numFmtId="43" fontId="4" fillId="0" borderId="0" applyFont="0" applyFill="0" applyBorder="0" applyAlignment="0" applyProtection="0"/>
    <xf numFmtId="9" fontId="4" fillId="0" borderId="0" applyFont="0" applyFill="0" applyBorder="0" applyAlignment="0" applyProtection="0"/>
    <xf numFmtId="0" fontId="7" fillId="0" borderId="0"/>
    <xf numFmtId="0" fontId="21" fillId="0" borderId="0" applyNumberFormat="0" applyFill="0" applyBorder="0" applyAlignment="0" applyProtection="0">
      <alignment vertical="top"/>
      <protection locked="0"/>
    </xf>
  </cellStyleXfs>
  <cellXfs count="117">
    <xf numFmtId="0" fontId="0" fillId="0" borderId="0" xfId="0"/>
    <xf numFmtId="0" fontId="2" fillId="2" borderId="0" xfId="0" applyFont="1" applyFill="1"/>
    <xf numFmtId="0" fontId="0" fillId="3" borderId="0" xfId="0" applyFill="1"/>
    <xf numFmtId="0" fontId="1" fillId="3" borderId="0" xfId="0" applyFont="1" applyFill="1"/>
    <xf numFmtId="14" fontId="0" fillId="0" borderId="0" xfId="0" applyNumberFormat="1"/>
    <xf numFmtId="165" fontId="0" fillId="3" borderId="0" xfId="1" applyNumberFormat="1" applyFont="1" applyFill="1"/>
    <xf numFmtId="0" fontId="6" fillId="3" borderId="0" xfId="0" applyFont="1" applyFill="1"/>
    <xf numFmtId="0" fontId="7" fillId="2" borderId="0" xfId="0" applyFont="1" applyFill="1"/>
    <xf numFmtId="0" fontId="8" fillId="2" borderId="0" xfId="0" applyFont="1" applyFill="1"/>
    <xf numFmtId="0" fontId="9" fillId="2" borderId="0" xfId="0" applyFont="1" applyFill="1"/>
    <xf numFmtId="0" fontId="10" fillId="2" borderId="0" xfId="0" applyFont="1" applyFill="1"/>
    <xf numFmtId="3" fontId="0" fillId="3" borderId="15" xfId="0" applyNumberFormat="1" applyFill="1" applyBorder="1" applyAlignment="1">
      <alignment horizontal="center"/>
    </xf>
    <xf numFmtId="3" fontId="0" fillId="3" borderId="16" xfId="0" applyNumberFormat="1" applyFill="1" applyBorder="1" applyAlignment="1">
      <alignment horizontal="center"/>
    </xf>
    <xf numFmtId="0" fontId="5" fillId="4" borderId="8" xfId="0" applyFont="1" applyFill="1" applyBorder="1" applyAlignment="1">
      <alignment horizontal="center"/>
    </xf>
    <xf numFmtId="3" fontId="0" fillId="3" borderId="21" xfId="0" applyNumberFormat="1" applyFill="1" applyBorder="1" applyAlignment="1">
      <alignment horizontal="center"/>
    </xf>
    <xf numFmtId="0" fontId="13" fillId="2" borderId="0" xfId="0" applyFont="1" applyFill="1"/>
    <xf numFmtId="0" fontId="13" fillId="3" borderId="0" xfId="0" applyFont="1" applyFill="1"/>
    <xf numFmtId="0" fontId="17" fillId="2" borderId="0" xfId="0" applyFont="1" applyFill="1" applyAlignment="1">
      <alignment horizontal="center"/>
    </xf>
    <xf numFmtId="0" fontId="2" fillId="3" borderId="0" xfId="0" applyFont="1" applyFill="1"/>
    <xf numFmtId="0" fontId="8" fillId="3" borderId="0" xfId="0" applyFont="1" applyFill="1"/>
    <xf numFmtId="0" fontId="20" fillId="3" borderId="0" xfId="0" applyFont="1" applyFill="1"/>
    <xf numFmtId="0" fontId="13" fillId="2" borderId="0" xfId="0" applyFont="1" applyFill="1" applyAlignment="1">
      <alignment horizontal="center" vertical="center"/>
    </xf>
    <xf numFmtId="10" fontId="13" fillId="2" borderId="0" xfId="2" applyNumberFormat="1" applyFont="1" applyFill="1" applyAlignment="1">
      <alignment horizontal="center" vertical="center"/>
    </xf>
    <xf numFmtId="0" fontId="7" fillId="3" borderId="0" xfId="3" applyFont="1" applyFill="1" applyBorder="1"/>
    <xf numFmtId="49" fontId="0" fillId="0" borderId="0" xfId="0" applyNumberFormat="1"/>
    <xf numFmtId="0" fontId="20" fillId="3" borderId="0" xfId="0" applyFont="1" applyFill="1" applyAlignment="1">
      <alignment horizontal="center" vertical="center" wrapText="1"/>
    </xf>
    <xf numFmtId="0" fontId="22" fillId="3" borderId="0" xfId="0" applyFont="1" applyFill="1" applyAlignment="1">
      <alignment vertical="top"/>
    </xf>
    <xf numFmtId="14" fontId="8" fillId="3" borderId="0" xfId="0" applyNumberFormat="1" applyFont="1" applyFill="1" applyAlignment="1">
      <alignment horizontal="center" vertical="center"/>
    </xf>
    <xf numFmtId="0" fontId="8" fillId="3" borderId="0" xfId="0" applyFont="1" applyFill="1" applyAlignment="1">
      <alignment horizontal="center" vertical="center"/>
    </xf>
    <xf numFmtId="0" fontId="8" fillId="3" borderId="0" xfId="0" applyFont="1" applyFill="1" applyBorder="1"/>
    <xf numFmtId="0" fontId="0" fillId="3" borderId="0" xfId="0" applyFill="1" applyAlignment="1">
      <alignment horizontal="center"/>
    </xf>
    <xf numFmtId="0" fontId="0" fillId="3" borderId="18" xfId="0" applyFill="1" applyBorder="1" applyAlignment="1">
      <alignment horizontal="center"/>
    </xf>
    <xf numFmtId="0" fontId="0" fillId="3" borderId="19" xfId="0" applyFont="1" applyFill="1" applyBorder="1"/>
    <xf numFmtId="0" fontId="0" fillId="3" borderId="3" xfId="0" applyFill="1" applyBorder="1" applyAlignment="1">
      <alignment horizontal="center"/>
    </xf>
    <xf numFmtId="0" fontId="0" fillId="3" borderId="4" xfId="0" applyFont="1" applyFill="1" applyBorder="1"/>
    <xf numFmtId="0" fontId="0" fillId="3" borderId="23" xfId="0" applyFill="1" applyBorder="1" applyAlignment="1">
      <alignment horizontal="center"/>
    </xf>
    <xf numFmtId="0" fontId="0" fillId="3" borderId="24" xfId="0" applyFont="1" applyFill="1" applyBorder="1"/>
    <xf numFmtId="38" fontId="0" fillId="3" borderId="10" xfId="0" applyNumberFormat="1" applyFill="1" applyBorder="1" applyAlignment="1">
      <alignment horizontal="center"/>
    </xf>
    <xf numFmtId="38" fontId="0" fillId="3" borderId="12" xfId="0" applyNumberFormat="1" applyFill="1" applyBorder="1" applyAlignment="1">
      <alignment horizontal="center"/>
    </xf>
    <xf numFmtId="38" fontId="0" fillId="3" borderId="8" xfId="0" applyNumberFormat="1" applyFill="1" applyBorder="1" applyAlignment="1">
      <alignment horizontal="center"/>
    </xf>
    <xf numFmtId="38" fontId="0" fillId="3" borderId="17" xfId="0" applyNumberFormat="1" applyFill="1" applyBorder="1" applyAlignment="1">
      <alignment horizontal="center"/>
    </xf>
    <xf numFmtId="38" fontId="0" fillId="3" borderId="20" xfId="0" applyNumberFormat="1" applyFill="1" applyBorder="1" applyAlignment="1">
      <alignment horizontal="center"/>
    </xf>
    <xf numFmtId="38" fontId="0" fillId="3" borderId="22" xfId="0" applyNumberFormat="1" applyFill="1" applyBorder="1" applyAlignment="1">
      <alignment horizontal="center"/>
    </xf>
    <xf numFmtId="38" fontId="0" fillId="3" borderId="11" xfId="0" applyNumberFormat="1" applyFill="1" applyBorder="1" applyAlignment="1">
      <alignment horizontal="center"/>
    </xf>
    <xf numFmtId="38" fontId="0" fillId="3" borderId="13" xfId="0" applyNumberFormat="1" applyFill="1" applyBorder="1" applyAlignment="1">
      <alignment horizontal="center"/>
    </xf>
    <xf numFmtId="38" fontId="0" fillId="3" borderId="9" xfId="0" applyNumberFormat="1" applyFill="1" applyBorder="1" applyAlignment="1">
      <alignment horizontal="center"/>
    </xf>
    <xf numFmtId="0" fontId="1" fillId="17" borderId="10" xfId="0" applyFont="1" applyFill="1" applyBorder="1" applyAlignment="1">
      <alignment horizontal="center"/>
    </xf>
    <xf numFmtId="0" fontId="1" fillId="18" borderId="12" xfId="0" applyFont="1" applyFill="1" applyBorder="1" applyAlignment="1">
      <alignment horizontal="center"/>
    </xf>
    <xf numFmtId="0" fontId="1" fillId="19" borderId="10" xfId="0" applyFont="1" applyFill="1" applyBorder="1" applyAlignment="1">
      <alignment horizontal="center"/>
    </xf>
    <xf numFmtId="3" fontId="0" fillId="3" borderId="0" xfId="0" applyNumberFormat="1" applyFill="1"/>
    <xf numFmtId="0" fontId="12" fillId="3" borderId="0" xfId="0" applyFont="1" applyFill="1"/>
    <xf numFmtId="0" fontId="0" fillId="3" borderId="0" xfId="0" applyFill="1"/>
    <xf numFmtId="0" fontId="0" fillId="0" borderId="0" xfId="0"/>
    <xf numFmtId="0" fontId="0" fillId="3" borderId="0" xfId="0" applyFill="1"/>
    <xf numFmtId="0" fontId="12" fillId="2" borderId="0" xfId="0" applyFont="1" applyFill="1"/>
    <xf numFmtId="0" fontId="13" fillId="3" borderId="0" xfId="0" applyFont="1" applyFill="1"/>
    <xf numFmtId="0" fontId="17" fillId="2" borderId="0" xfId="0" applyFont="1" applyFill="1" applyAlignment="1">
      <alignment horizontal="center"/>
    </xf>
    <xf numFmtId="0" fontId="18" fillId="2" borderId="14" xfId="0" applyFont="1" applyFill="1" applyBorder="1" applyAlignment="1">
      <alignment horizontal="center"/>
    </xf>
    <xf numFmtId="0" fontId="19" fillId="8" borderId="14" xfId="0" applyFont="1" applyFill="1" applyBorder="1" applyAlignment="1">
      <alignment horizontal="center"/>
    </xf>
    <xf numFmtId="0" fontId="17" fillId="2" borderId="14" xfId="0" applyFont="1" applyFill="1" applyBorder="1" applyAlignment="1">
      <alignment horizontal="center"/>
    </xf>
    <xf numFmtId="0" fontId="19" fillId="9" borderId="14" xfId="0" applyFont="1" applyFill="1" applyBorder="1" applyAlignment="1">
      <alignment horizontal="center"/>
    </xf>
    <xf numFmtId="0" fontId="19" fillId="10" borderId="14" xfId="0" applyFont="1" applyFill="1" applyBorder="1" applyAlignment="1">
      <alignment horizontal="center"/>
    </xf>
    <xf numFmtId="0" fontId="17" fillId="3" borderId="0" xfId="0" applyFont="1" applyFill="1" applyAlignment="1">
      <alignment horizontal="center"/>
    </xf>
    <xf numFmtId="0" fontId="14" fillId="2" borderId="14" xfId="0" applyFont="1" applyFill="1" applyBorder="1" applyAlignment="1">
      <alignment horizontal="center" vertical="center" wrapText="1"/>
    </xf>
    <xf numFmtId="10" fontId="14" fillId="2" borderId="14" xfId="2" applyNumberFormat="1" applyFont="1" applyFill="1" applyBorder="1" applyAlignment="1">
      <alignment horizontal="center" vertical="center" wrapText="1"/>
    </xf>
    <xf numFmtId="0" fontId="15" fillId="2" borderId="14" xfId="0" applyFont="1" applyFill="1" applyBorder="1" applyAlignment="1">
      <alignment horizontal="center" vertical="center"/>
    </xf>
    <xf numFmtId="10" fontId="15" fillId="2" borderId="14" xfId="2" applyNumberFormat="1" applyFont="1" applyFill="1" applyBorder="1" applyAlignment="1">
      <alignment horizontal="center" vertical="center"/>
    </xf>
    <xf numFmtId="0" fontId="13" fillId="2" borderId="14" xfId="0" applyFont="1" applyFill="1" applyBorder="1" applyAlignment="1">
      <alignment horizontal="center" vertical="center"/>
    </xf>
    <xf numFmtId="10" fontId="13" fillId="2" borderId="14" xfId="2" applyNumberFormat="1" applyFont="1" applyFill="1" applyBorder="1" applyAlignment="1">
      <alignment horizontal="center" vertical="center"/>
    </xf>
    <xf numFmtId="0" fontId="13" fillId="8" borderId="14" xfId="0" applyFont="1" applyFill="1" applyBorder="1" applyAlignment="1">
      <alignment horizontal="center" vertical="center"/>
    </xf>
    <xf numFmtId="0" fontId="13" fillId="9" borderId="14" xfId="0" applyFont="1" applyFill="1" applyBorder="1" applyAlignment="1">
      <alignment horizontal="center" vertical="center"/>
    </xf>
    <xf numFmtId="0" fontId="13" fillId="10" borderId="14" xfId="0" applyFont="1" applyFill="1" applyBorder="1" applyAlignment="1">
      <alignment horizontal="center" vertical="center"/>
    </xf>
    <xf numFmtId="0" fontId="13" fillId="6" borderId="14" xfId="0" applyFont="1" applyFill="1" applyBorder="1" applyAlignment="1">
      <alignment horizontal="center" vertical="center"/>
    </xf>
    <xf numFmtId="0" fontId="13" fillId="12" borderId="14" xfId="0" applyFont="1" applyFill="1" applyBorder="1" applyAlignment="1">
      <alignment horizontal="center" vertical="center"/>
    </xf>
    <xf numFmtId="0" fontId="13" fillId="13" borderId="14" xfId="0" applyFont="1" applyFill="1" applyBorder="1" applyAlignment="1">
      <alignment horizontal="center" vertical="center"/>
    </xf>
    <xf numFmtId="0" fontId="13" fillId="15" borderId="14" xfId="0" applyFont="1" applyFill="1" applyBorder="1" applyAlignment="1">
      <alignment horizontal="center" vertical="center"/>
    </xf>
    <xf numFmtId="0" fontId="13" fillId="14" borderId="14" xfId="0" applyFont="1" applyFill="1" applyBorder="1" applyAlignment="1">
      <alignment horizontal="center" vertical="center"/>
    </xf>
    <xf numFmtId="0" fontId="13" fillId="5" borderId="14" xfId="0" applyFont="1" applyFill="1" applyBorder="1" applyAlignment="1">
      <alignment horizontal="center" vertical="center"/>
    </xf>
    <xf numFmtId="0" fontId="13" fillId="7" borderId="14" xfId="0" applyFont="1" applyFill="1" applyBorder="1" applyAlignment="1">
      <alignment horizontal="center" vertical="center"/>
    </xf>
    <xf numFmtId="0" fontId="16" fillId="11" borderId="14" xfId="0" applyFont="1" applyFill="1" applyBorder="1" applyAlignment="1">
      <alignment horizontal="center" vertical="center"/>
    </xf>
    <xf numFmtId="0" fontId="13" fillId="3" borderId="14" xfId="0" applyFont="1" applyFill="1" applyBorder="1" applyAlignment="1">
      <alignment horizontal="center" vertical="center"/>
    </xf>
    <xf numFmtId="10" fontId="13" fillId="3" borderId="14" xfId="2" applyNumberFormat="1" applyFont="1" applyFill="1" applyBorder="1" applyAlignment="1">
      <alignment horizontal="center" vertical="center"/>
    </xf>
    <xf numFmtId="0" fontId="19" fillId="6" borderId="14" xfId="0" applyFont="1" applyFill="1" applyBorder="1" applyAlignment="1">
      <alignment horizontal="center"/>
    </xf>
    <xf numFmtId="0" fontId="19" fillId="5" borderId="14" xfId="0" applyFont="1" applyFill="1" applyBorder="1" applyAlignment="1">
      <alignment horizontal="center"/>
    </xf>
    <xf numFmtId="0" fontId="19" fillId="7" borderId="14" xfId="0" applyFont="1" applyFill="1" applyBorder="1" applyAlignment="1">
      <alignment horizontal="center"/>
    </xf>
    <xf numFmtId="0" fontId="19" fillId="12" borderId="14" xfId="0" applyFont="1" applyFill="1" applyBorder="1" applyAlignment="1">
      <alignment horizontal="center"/>
    </xf>
    <xf numFmtId="0" fontId="19" fillId="14" borderId="14" xfId="0" applyFont="1" applyFill="1" applyBorder="1" applyAlignment="1">
      <alignment horizontal="center"/>
    </xf>
    <xf numFmtId="0" fontId="19" fillId="13" borderId="14" xfId="0" applyFont="1" applyFill="1" applyBorder="1" applyAlignment="1">
      <alignment horizontal="center"/>
    </xf>
    <xf numFmtId="0" fontId="19" fillId="15" borderId="14" xfId="0" applyFont="1" applyFill="1" applyBorder="1" applyAlignment="1">
      <alignment horizontal="center"/>
    </xf>
    <xf numFmtId="3" fontId="0" fillId="0" borderId="0" xfId="0" applyNumberFormat="1"/>
    <xf numFmtId="0" fontId="0" fillId="0" borderId="0" xfId="0" applyAlignment="1">
      <alignment horizontal="center"/>
    </xf>
    <xf numFmtId="10" fontId="0" fillId="0" borderId="0" xfId="0" applyNumberFormat="1"/>
    <xf numFmtId="0" fontId="1" fillId="0" borderId="0" xfId="0" applyFont="1"/>
    <xf numFmtId="0" fontId="1" fillId="0" borderId="0" xfId="0" applyFont="1" applyAlignment="1">
      <alignment horizontal="center"/>
    </xf>
    <xf numFmtId="14" fontId="1" fillId="0" borderId="0" xfId="0" applyNumberFormat="1" applyFont="1" applyAlignment="1">
      <alignment horizontal="center"/>
    </xf>
    <xf numFmtId="14" fontId="0" fillId="0" borderId="0" xfId="0" applyNumberFormat="1" applyAlignment="1">
      <alignment horizontal="center"/>
    </xf>
    <xf numFmtId="11" fontId="0" fillId="0" borderId="0" xfId="0" applyNumberFormat="1"/>
    <xf numFmtId="0" fontId="11" fillId="3" borderId="0" xfId="0" applyFont="1" applyFill="1" applyBorder="1" applyAlignment="1">
      <alignment wrapText="1"/>
    </xf>
    <xf numFmtId="0" fontId="11" fillId="3" borderId="0" xfId="0" applyFont="1" applyFill="1" applyBorder="1" applyAlignment="1">
      <alignment horizontal="center" wrapText="1"/>
    </xf>
    <xf numFmtId="14" fontId="7" fillId="3" borderId="0" xfId="0" applyNumberFormat="1" applyFont="1" applyFill="1" applyBorder="1" applyAlignment="1">
      <alignment horizontal="center"/>
    </xf>
    <xf numFmtId="164" fontId="7" fillId="3" borderId="0" xfId="0" applyNumberFormat="1" applyFont="1" applyFill="1" applyBorder="1" applyAlignment="1">
      <alignment horizontal="left"/>
    </xf>
    <xf numFmtId="0" fontId="2" fillId="3" borderId="0" xfId="0" applyFont="1" applyFill="1" applyBorder="1" applyAlignment="1">
      <alignment horizontal="right"/>
    </xf>
    <xf numFmtId="14" fontId="21" fillId="3" borderId="0" xfId="4" applyNumberFormat="1" applyFont="1" applyFill="1" applyBorder="1" applyAlignment="1" applyProtection="1">
      <alignment horizontal="left"/>
    </xf>
    <xf numFmtId="0" fontId="20" fillId="3" borderId="0" xfId="0" applyFont="1" applyFill="1" applyBorder="1" applyAlignment="1">
      <alignment horizontal="right"/>
    </xf>
    <xf numFmtId="0" fontId="8" fillId="3" borderId="0" xfId="0" applyFont="1" applyFill="1" applyBorder="1" applyAlignment="1">
      <alignment horizontal="left"/>
    </xf>
    <xf numFmtId="0" fontId="8" fillId="3" borderId="0" xfId="0" applyFont="1" applyFill="1" applyBorder="1"/>
    <xf numFmtId="0" fontId="8" fillId="3" borderId="0" xfId="0" applyFont="1" applyFill="1" applyBorder="1" applyAlignment="1">
      <alignment horizontal="center"/>
    </xf>
    <xf numFmtId="14" fontId="8" fillId="3" borderId="0" xfId="0" applyNumberFormat="1" applyFont="1" applyFill="1" applyBorder="1" applyAlignment="1">
      <alignment horizontal="center"/>
    </xf>
    <xf numFmtId="0" fontId="10" fillId="3" borderId="0" xfId="0" applyFont="1" applyFill="1" applyBorder="1"/>
    <xf numFmtId="0" fontId="21" fillId="3" borderId="0" xfId="4" applyFill="1" applyBorder="1" applyAlignment="1" applyProtection="1"/>
    <xf numFmtId="0" fontId="3" fillId="16" borderId="5" xfId="0" applyFont="1" applyFill="1" applyBorder="1" applyAlignment="1">
      <alignment horizontal="center"/>
    </xf>
    <xf numFmtId="0" fontId="3" fillId="16" borderId="6" xfId="0" applyFont="1" applyFill="1" applyBorder="1" applyAlignment="1">
      <alignment horizontal="center"/>
    </xf>
    <xf numFmtId="0" fontId="3" fillId="16" borderId="7" xfId="0" applyFont="1" applyFill="1" applyBorder="1" applyAlignment="1">
      <alignment horizontal="center"/>
    </xf>
    <xf numFmtId="164" fontId="0" fillId="3" borderId="3" xfId="0" applyNumberFormat="1" applyFont="1" applyFill="1" applyBorder="1" applyAlignment="1">
      <alignment horizontal="center"/>
    </xf>
    <xf numFmtId="164" fontId="0" fillId="3" borderId="4" xfId="0" applyNumberFormat="1" applyFont="1" applyFill="1" applyBorder="1" applyAlignment="1">
      <alignment horizontal="center"/>
    </xf>
    <xf numFmtId="0" fontId="5" fillId="4" borderId="1" xfId="0" applyFont="1" applyFill="1" applyBorder="1" applyAlignment="1">
      <alignment horizontal="center"/>
    </xf>
    <xf numFmtId="0" fontId="5" fillId="4" borderId="2" xfId="0" applyFont="1" applyFill="1" applyBorder="1" applyAlignment="1">
      <alignment horizontal="center"/>
    </xf>
  </cellXfs>
  <cellStyles count="5">
    <cellStyle name="Comma" xfId="1" builtinId="3"/>
    <cellStyle name="Hyperlink" xfId="4" builtinId="8"/>
    <cellStyle name="Normal" xfId="0" builtinId="0"/>
    <cellStyle name="Normal_Industry Names and Codes" xfId="3"/>
    <cellStyle name="Percent" xfId="2" builtinId="5"/>
  </cellStyles>
  <dxfs count="5">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s>
  <tableStyles count="0" defaultTableStyle="TableStyleMedium2" defaultPivotStyle="PivotStyleMedium9"/>
  <colors>
    <mruColors>
      <color rgb="FFE2DD00"/>
      <color rgb="FFF6F000"/>
      <color rgb="FFFFFA37"/>
      <color rgb="FFFFFA00"/>
      <color rgb="FFFFFF85"/>
      <color rgb="FFFFFF4F"/>
      <color rgb="FFFFFFAB"/>
      <color rgb="FFFFE585"/>
      <color rgb="FFF3975F"/>
      <color rgb="FFA4A00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304799</xdr:colOff>
      <xdr:row>3</xdr:row>
      <xdr:rowOff>142874</xdr:rowOff>
    </xdr:to>
    <xdr:sp macro="[0]!RATPershingIRStandardChargeImportData" textlink="">
      <xdr:nvSpPr>
        <xdr:cNvPr id="4" name="Flowchart: Alternate Process 3"/>
        <xdr:cNvSpPr/>
      </xdr:nvSpPr>
      <xdr:spPr>
        <a:xfrm>
          <a:off x="0" y="0"/>
          <a:ext cx="2743199" cy="714374"/>
        </a:xfrm>
        <a:prstGeom prst="flowChartAlternateProcess">
          <a:avLst/>
        </a:prstGeom>
        <a:solidFill>
          <a:srgbClr val="E2DD00"/>
        </a:solidFill>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US" sz="1600">
              <a:solidFill>
                <a:schemeClr val="tx1"/>
              </a:solidFill>
              <a:latin typeface="Baskerville Old Face" pitchFamily="18" charset="0"/>
            </a:rPr>
            <a:t>Calculate</a:t>
          </a:r>
          <a:r>
            <a:rPr lang="en-US" sz="1600" baseline="0">
              <a:solidFill>
                <a:schemeClr val="tx1"/>
              </a:solidFill>
              <a:latin typeface="Baskerville Old Face" pitchFamily="18" charset="0"/>
            </a:rPr>
            <a:t> RAT Pershing</a:t>
          </a:r>
        </a:p>
        <a:p>
          <a:pPr algn="ctr"/>
          <a:r>
            <a:rPr lang="en-US" sz="1600" baseline="0">
              <a:solidFill>
                <a:schemeClr val="tx1"/>
              </a:solidFill>
              <a:latin typeface="Baskerville Old Face" pitchFamily="18" charset="0"/>
            </a:rPr>
            <a:t>Interest Rate Standard Charge</a:t>
          </a:r>
        </a:p>
      </xdr:txBody>
    </xdr:sp>
    <xdr:clientData/>
  </xdr:twoCellAnchor>
  <xdr:twoCellAnchor>
    <xdr:from>
      <xdr:col>0</xdr:col>
      <xdr:colOff>333375</xdr:colOff>
      <xdr:row>4</xdr:row>
      <xdr:rowOff>104775</xdr:rowOff>
    </xdr:from>
    <xdr:to>
      <xdr:col>4</xdr:col>
      <xdr:colOff>28575</xdr:colOff>
      <xdr:row>6</xdr:row>
      <xdr:rowOff>123825</xdr:rowOff>
    </xdr:to>
    <xdr:sp macro="[0]!RATPershingIRStandardChargeImportData" textlink="">
      <xdr:nvSpPr>
        <xdr:cNvPr id="2" name="Rounded Rectangle 1"/>
        <xdr:cNvSpPr/>
      </xdr:nvSpPr>
      <xdr:spPr>
        <a:xfrm>
          <a:off x="333375" y="866775"/>
          <a:ext cx="2133600" cy="400050"/>
        </a:xfrm>
        <a:prstGeom prst="roundRect">
          <a:avLst/>
        </a:prstGeom>
        <a:solidFill>
          <a:srgbClr val="FFE585"/>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baseline="0">
              <a:solidFill>
                <a:sysClr val="windowText" lastClr="000000"/>
              </a:solidFill>
              <a:effectLst/>
              <a:latin typeface="Baskerville Old Face" pitchFamily="18" charset="0"/>
              <a:ea typeface="+mn-ea"/>
              <a:cs typeface="+mn-cs"/>
            </a:rPr>
            <a:t>Step 1: Import Data</a:t>
          </a:r>
          <a:endParaRPr lang="en-US" sz="1100" baseline="0">
            <a:latin typeface="Baskerville Old Face" pitchFamily="18" charset="0"/>
          </a:endParaRPr>
        </a:p>
      </xdr:txBody>
    </xdr:sp>
    <xdr:clientData/>
  </xdr:twoCellAnchor>
  <xdr:twoCellAnchor>
    <xdr:from>
      <xdr:col>0</xdr:col>
      <xdr:colOff>323850</xdr:colOff>
      <xdr:row>7</xdr:row>
      <xdr:rowOff>47625</xdr:rowOff>
    </xdr:from>
    <xdr:to>
      <xdr:col>4</xdr:col>
      <xdr:colOff>38100</xdr:colOff>
      <xdr:row>9</xdr:row>
      <xdr:rowOff>66675</xdr:rowOff>
    </xdr:to>
    <xdr:sp macro="[0]!RATPershingIRStandardChargeCalculate" textlink="">
      <xdr:nvSpPr>
        <xdr:cNvPr id="5" name="Rounded Rectangle 4"/>
        <xdr:cNvSpPr/>
      </xdr:nvSpPr>
      <xdr:spPr>
        <a:xfrm>
          <a:off x="323850" y="1381125"/>
          <a:ext cx="2152650" cy="400050"/>
        </a:xfrm>
        <a:prstGeom prst="roundRect">
          <a:avLst/>
        </a:prstGeom>
        <a:solidFill>
          <a:srgbClr val="FFE585"/>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baseline="0">
              <a:solidFill>
                <a:sysClr val="windowText" lastClr="000000"/>
              </a:solidFill>
              <a:effectLst/>
              <a:latin typeface="Baskerville Old Face" pitchFamily="18" charset="0"/>
              <a:ea typeface="+mn-ea"/>
              <a:cs typeface="+mn-cs"/>
            </a:rPr>
            <a:t>Step 2: Calculate Standard Charge</a:t>
          </a:r>
          <a:endParaRPr lang="en-US" sz="1100" baseline="0">
            <a:latin typeface="Baskerville Old Face" pitchFamily="18" charset="0"/>
          </a:endParaRPr>
        </a:p>
      </xdr:txBody>
    </xdr:sp>
    <xdr:clientData/>
  </xdr:twoCellAnchor>
</xdr:wsDr>
</file>

<file path=xl/queryTables/queryTable1.xml><?xml version="1.0" encoding="utf-8"?>
<queryTable xmlns="http://schemas.openxmlformats.org/spreadsheetml/2006/main" name="RAT_Pershing_REG20140930" connectionId="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oecd.org/about/membersandpartners/" TargetMode="External"/><Relationship Id="rId1" Type="http://schemas.openxmlformats.org/officeDocument/2006/relationships/hyperlink" Target="http://www.oecd.org/tad/xcred/crc.ht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
  <sheetViews>
    <sheetView workbookViewId="0"/>
  </sheetViews>
  <sheetFormatPr defaultRowHeight="15" x14ac:dyDescent="0.25"/>
  <cols>
    <col min="1" max="16384" width="9.140625" style="2"/>
  </cols>
  <sheetData>
    <row r="1" spans="1:7" x14ac:dyDescent="0.25">
      <c r="A1" s="2">
        <v>20140930</v>
      </c>
      <c r="G1" s="51" t="s">
        <v>1412</v>
      </c>
    </row>
    <row r="2" spans="1:7" x14ac:dyDescent="0.25">
      <c r="G2" s="51" t="s">
        <v>1413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K11"/>
  <sheetViews>
    <sheetView tabSelected="1" zoomScale="85" zoomScaleNormal="85" workbookViewId="0"/>
  </sheetViews>
  <sheetFormatPr defaultRowHeight="15" x14ac:dyDescent="0.25"/>
  <cols>
    <col min="1" max="1" width="4.28515625" style="2" bestFit="1" customWidth="1"/>
    <col min="2" max="2" width="17.28515625" style="2" bestFit="1" customWidth="1"/>
    <col min="3" max="6" width="26.7109375" style="30" customWidth="1"/>
    <col min="7" max="16384" width="9.140625" style="2"/>
  </cols>
  <sheetData>
    <row r="1" spans="1:11" ht="24" thickBot="1" x14ac:dyDescent="0.4">
      <c r="B1" s="3"/>
      <c r="C1" s="110" t="s">
        <v>1214</v>
      </c>
      <c r="D1" s="111"/>
      <c r="E1" s="111"/>
      <c r="F1" s="112"/>
    </row>
    <row r="2" spans="1:11" x14ac:dyDescent="0.25">
      <c r="A2" s="115" t="s">
        <v>0</v>
      </c>
      <c r="B2" s="116"/>
      <c r="C2" s="46" t="s">
        <v>1215</v>
      </c>
      <c r="D2" s="48" t="s">
        <v>1</v>
      </c>
      <c r="E2" s="47" t="s">
        <v>2</v>
      </c>
      <c r="F2" s="13" t="s">
        <v>3</v>
      </c>
    </row>
    <row r="3" spans="1:11" ht="15.75" thickBot="1" x14ac:dyDescent="0.3">
      <c r="A3" s="113">
        <f>DATE(LEFT(Button!A1,4),MID(Button!A1,5,2),RIGHT(Button!A1,2))</f>
        <v>41912</v>
      </c>
      <c r="B3" s="114"/>
      <c r="C3" s="11">
        <f>SUM('RAT Pershing w BBG Data Values'!EU:EU)</f>
        <v>17783.443700000149</v>
      </c>
      <c r="D3" s="11"/>
      <c r="E3" s="12">
        <f>SUM('RAT Pershing w BBG Data Values'!EU:EU)</f>
        <v>17783.443700000149</v>
      </c>
      <c r="F3" s="14">
        <f>SUM('RAT Pershing w BBG Data Values'!EU:EU)</f>
        <v>17783.443700000149</v>
      </c>
      <c r="J3" s="49"/>
      <c r="K3" s="49"/>
    </row>
    <row r="4" spans="1:11" x14ac:dyDescent="0.25">
      <c r="A4" s="35" t="s">
        <v>1204</v>
      </c>
      <c r="B4" s="36" t="s">
        <v>1203</v>
      </c>
      <c r="C4" s="37">
        <f>SUMIF('RAT Pershing w BBG Data Values'!EA:EA,$A4,'RAT Pershing w BBG Data Values'!EU:EU)</f>
        <v>0</v>
      </c>
      <c r="D4" s="37"/>
      <c r="E4" s="38">
        <f>SUMIF('RAT Pershing w BBG Data Values'!EA:EA,$A4,'RAT Pershing w BBG Data Values'!EU:EU)</f>
        <v>0</v>
      </c>
      <c r="F4" s="39">
        <f>SUMIF('RAT Pershing w BBG Data Values'!EA:EA,$A4,'RAT Pershing w BBG Data Values'!EU:EU)</f>
        <v>0</v>
      </c>
    </row>
    <row r="5" spans="1:11" x14ac:dyDescent="0.25">
      <c r="A5" s="31" t="s">
        <v>221</v>
      </c>
      <c r="B5" s="32" t="s">
        <v>1207</v>
      </c>
      <c r="C5" s="40">
        <f>SUMIF('RAT Pershing w BBG Data Values'!EA:EA,$A5,'RAT Pershing w BBG Data Values'!EU:EU)</f>
        <v>0</v>
      </c>
      <c r="D5" s="40"/>
      <c r="E5" s="41">
        <f>SUMIF('RAT Pershing w BBG Data Values'!EA:EA,$A5,'RAT Pershing w BBG Data Values'!EU:EU)</f>
        <v>0</v>
      </c>
      <c r="F5" s="42">
        <f>SUMIF('RAT Pershing w BBG Data Values'!EA:EA,$A5,'RAT Pershing w BBG Data Values'!EU:EU)</f>
        <v>0</v>
      </c>
    </row>
    <row r="6" spans="1:11" x14ac:dyDescent="0.25">
      <c r="A6" s="31" t="s">
        <v>223</v>
      </c>
      <c r="B6" s="32" t="s">
        <v>1208</v>
      </c>
      <c r="C6" s="40">
        <f>SUMIF('RAT Pershing w BBG Data Values'!EA:EA,$A6,'RAT Pershing w BBG Data Values'!EU:EU)</f>
        <v>0</v>
      </c>
      <c r="D6" s="40"/>
      <c r="E6" s="41">
        <f>SUMIF('RAT Pershing w BBG Data Values'!EA:EA,$A6,'RAT Pershing w BBG Data Values'!EU:EU)</f>
        <v>0</v>
      </c>
      <c r="F6" s="42">
        <f>SUMIF('RAT Pershing w BBG Data Values'!EA:EA,$A6,'RAT Pershing w BBG Data Values'!EU:EU)</f>
        <v>0</v>
      </c>
    </row>
    <row r="7" spans="1:11" x14ac:dyDescent="0.25">
      <c r="A7" s="31" t="s">
        <v>1206</v>
      </c>
      <c r="B7" s="32" t="s">
        <v>1209</v>
      </c>
      <c r="C7" s="40">
        <f>SUMIF('RAT Pershing w BBG Data Values'!EA:EA,$A7,'RAT Pershing w BBG Data Values'!EU:EU)</f>
        <v>17783.443700000149</v>
      </c>
      <c r="D7" s="40"/>
      <c r="E7" s="41">
        <f>SUMIF('RAT Pershing w BBG Data Values'!EA:EA,$A7,'RAT Pershing w BBG Data Values'!EU:EU)</f>
        <v>17783.443700000149</v>
      </c>
      <c r="F7" s="42">
        <f>SUMIF('RAT Pershing w BBG Data Values'!EA:EA,$A7,'RAT Pershing w BBG Data Values'!EU:EU)</f>
        <v>17783.443700000149</v>
      </c>
    </row>
    <row r="8" spans="1:11" x14ac:dyDescent="0.25">
      <c r="A8" s="31" t="s">
        <v>1205</v>
      </c>
      <c r="B8" s="32" t="s">
        <v>723</v>
      </c>
      <c r="C8" s="40">
        <f>SUMIF('RAT Pershing w BBG Data Values'!EA:EA,$A8,'RAT Pershing w BBG Data Values'!EU:EU)</f>
        <v>0</v>
      </c>
      <c r="D8" s="40"/>
      <c r="E8" s="41">
        <f>SUMIF('RAT Pershing w BBG Data Values'!EA:EA,$A8,'RAT Pershing w BBG Data Values'!EU:EU)</f>
        <v>0</v>
      </c>
      <c r="F8" s="42">
        <f>SUMIF('RAT Pershing w BBG Data Values'!EA:EA,$A8,'RAT Pershing w BBG Data Values'!EU:EU)</f>
        <v>0</v>
      </c>
    </row>
    <row r="9" spans="1:11" x14ac:dyDescent="0.25">
      <c r="A9" s="31" t="s">
        <v>851</v>
      </c>
      <c r="B9" s="32" t="s">
        <v>1210</v>
      </c>
      <c r="C9" s="40">
        <f>SUMIF('RAT Pershing w BBG Data Values'!EA:EA,$A9,'RAT Pershing w BBG Data Values'!EU:EU)</f>
        <v>0</v>
      </c>
      <c r="D9" s="40"/>
      <c r="E9" s="41">
        <f>SUMIF('RAT Pershing w BBG Data Values'!EA:EA,$A9,'RAT Pershing w BBG Data Values'!EU:EU)</f>
        <v>0</v>
      </c>
      <c r="F9" s="42">
        <f>SUMIF('RAT Pershing w BBG Data Values'!EA:EA,$A9,'RAT Pershing w BBG Data Values'!EU:EU)</f>
        <v>0</v>
      </c>
    </row>
    <row r="10" spans="1:11" x14ac:dyDescent="0.25">
      <c r="A10" s="31" t="s">
        <v>285</v>
      </c>
      <c r="B10" s="32" t="s">
        <v>1211</v>
      </c>
      <c r="C10" s="40">
        <f>SUMIF('RAT Pershing w BBG Data Values'!EA:EA,$A10,'RAT Pershing w BBG Data Values'!EU:EU)</f>
        <v>0</v>
      </c>
      <c r="D10" s="40"/>
      <c r="E10" s="41">
        <f>SUMIF('RAT Pershing w BBG Data Values'!EA:EA,$A10,'RAT Pershing w BBG Data Values'!EU:EU)</f>
        <v>0</v>
      </c>
      <c r="F10" s="42">
        <f>SUMIF('RAT Pershing w BBG Data Values'!EA:EA,$A10,'RAT Pershing w BBG Data Values'!EU:EU)</f>
        <v>0</v>
      </c>
    </row>
    <row r="11" spans="1:11" ht="15.75" thickBot="1" x14ac:dyDescent="0.3">
      <c r="A11" s="33" t="s">
        <v>287</v>
      </c>
      <c r="B11" s="34" t="s">
        <v>1212</v>
      </c>
      <c r="C11" s="43">
        <f>SUMIF('RAT Pershing w BBG Data Values'!EA:EA,$A11,'RAT Pershing w BBG Data Values'!EU:EU)</f>
        <v>0</v>
      </c>
      <c r="D11" s="43"/>
      <c r="E11" s="44">
        <f>SUMIF('RAT Pershing w BBG Data Values'!EA:EA,$A11,'RAT Pershing w BBG Data Values'!EU:EU)</f>
        <v>0</v>
      </c>
      <c r="F11" s="45">
        <f>SUMIF('RAT Pershing w BBG Data Values'!EA:EA,$A11,'RAT Pershing w BBG Data Values'!EU:EU)</f>
        <v>0</v>
      </c>
    </row>
  </sheetData>
  <mergeCells count="3">
    <mergeCell ref="C1:F1"/>
    <mergeCell ref="A3:B3"/>
    <mergeCell ref="A2:B2"/>
  </mergeCells>
  <pageMargins left="0.25" right="0.25" top="0.75" bottom="0.75" header="0.3" footer="0.3"/>
  <pageSetup paperSize="5" scale="98"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6">
    <pageSetUpPr fitToPage="1"/>
  </sheetPr>
  <dimension ref="A1:H1"/>
  <sheetViews>
    <sheetView workbookViewId="0"/>
  </sheetViews>
  <sheetFormatPr defaultRowHeight="15" x14ac:dyDescent="0.25"/>
  <cols>
    <col min="1" max="1" width="18.140625" style="2" bestFit="1" customWidth="1"/>
    <col min="2" max="7" width="9.140625" style="2"/>
    <col min="8" max="8" width="9.140625" style="5"/>
    <col min="9" max="16384" width="9.140625" style="2"/>
  </cols>
  <sheetData>
    <row r="1" spans="1:1" x14ac:dyDescent="0.25">
      <c r="A1" s="6" t="s">
        <v>91</v>
      </c>
    </row>
  </sheetData>
  <pageMargins left="0.25" right="0.25" top="0.75" bottom="0.75" header="0.3" footer="0.3"/>
  <pageSetup paperSize="5" scale="8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B53"/>
  <sheetViews>
    <sheetView workbookViewId="0"/>
  </sheetViews>
  <sheetFormatPr defaultRowHeight="12.75" x14ac:dyDescent="0.2"/>
  <cols>
    <col min="1" max="1" width="42.42578125" style="8" customWidth="1"/>
    <col min="2" max="256" width="9.140625" style="8"/>
    <col min="257" max="257" width="151.5703125" style="8" bestFit="1" customWidth="1"/>
    <col min="258" max="512" width="9.140625" style="8"/>
    <col min="513" max="513" width="151.5703125" style="8" bestFit="1" customWidth="1"/>
    <col min="514" max="768" width="9.140625" style="8"/>
    <col min="769" max="769" width="151.5703125" style="8" bestFit="1" customWidth="1"/>
    <col min="770" max="1024" width="9.140625" style="8"/>
    <col min="1025" max="1025" width="151.5703125" style="8" bestFit="1" customWidth="1"/>
    <col min="1026" max="1280" width="9.140625" style="8"/>
    <col min="1281" max="1281" width="151.5703125" style="8" bestFit="1" customWidth="1"/>
    <col min="1282" max="1536" width="9.140625" style="8"/>
    <col min="1537" max="1537" width="151.5703125" style="8" bestFit="1" customWidth="1"/>
    <col min="1538" max="1792" width="9.140625" style="8"/>
    <col min="1793" max="1793" width="151.5703125" style="8" bestFit="1" customWidth="1"/>
    <col min="1794" max="2048" width="9.140625" style="8"/>
    <col min="2049" max="2049" width="151.5703125" style="8" bestFit="1" customWidth="1"/>
    <col min="2050" max="2304" width="9.140625" style="8"/>
    <col min="2305" max="2305" width="151.5703125" style="8" bestFit="1" customWidth="1"/>
    <col min="2306" max="2560" width="9.140625" style="8"/>
    <col min="2561" max="2561" width="151.5703125" style="8" bestFit="1" customWidth="1"/>
    <col min="2562" max="2816" width="9.140625" style="8"/>
    <col min="2817" max="2817" width="151.5703125" style="8" bestFit="1" customWidth="1"/>
    <col min="2818" max="3072" width="9.140625" style="8"/>
    <col min="3073" max="3073" width="151.5703125" style="8" bestFit="1" customWidth="1"/>
    <col min="3074" max="3328" width="9.140625" style="8"/>
    <col min="3329" max="3329" width="151.5703125" style="8" bestFit="1" customWidth="1"/>
    <col min="3330" max="3584" width="9.140625" style="8"/>
    <col min="3585" max="3585" width="151.5703125" style="8" bestFit="1" customWidth="1"/>
    <col min="3586" max="3840" width="9.140625" style="8"/>
    <col min="3841" max="3841" width="151.5703125" style="8" bestFit="1" customWidth="1"/>
    <col min="3842" max="4096" width="9.140625" style="8"/>
    <col min="4097" max="4097" width="151.5703125" style="8" bestFit="1" customWidth="1"/>
    <col min="4098" max="4352" width="9.140625" style="8"/>
    <col min="4353" max="4353" width="151.5703125" style="8" bestFit="1" customWidth="1"/>
    <col min="4354" max="4608" width="9.140625" style="8"/>
    <col min="4609" max="4609" width="151.5703125" style="8" bestFit="1" customWidth="1"/>
    <col min="4610" max="4864" width="9.140625" style="8"/>
    <col min="4865" max="4865" width="151.5703125" style="8" bestFit="1" customWidth="1"/>
    <col min="4866" max="5120" width="9.140625" style="8"/>
    <col min="5121" max="5121" width="151.5703125" style="8" bestFit="1" customWidth="1"/>
    <col min="5122" max="5376" width="9.140625" style="8"/>
    <col min="5377" max="5377" width="151.5703125" style="8" bestFit="1" customWidth="1"/>
    <col min="5378" max="5632" width="9.140625" style="8"/>
    <col min="5633" max="5633" width="151.5703125" style="8" bestFit="1" customWidth="1"/>
    <col min="5634" max="5888" width="9.140625" style="8"/>
    <col min="5889" max="5889" width="151.5703125" style="8" bestFit="1" customWidth="1"/>
    <col min="5890" max="6144" width="9.140625" style="8"/>
    <col min="6145" max="6145" width="151.5703125" style="8" bestFit="1" customWidth="1"/>
    <col min="6146" max="6400" width="9.140625" style="8"/>
    <col min="6401" max="6401" width="151.5703125" style="8" bestFit="1" customWidth="1"/>
    <col min="6402" max="6656" width="9.140625" style="8"/>
    <col min="6657" max="6657" width="151.5703125" style="8" bestFit="1" customWidth="1"/>
    <col min="6658" max="6912" width="9.140625" style="8"/>
    <col min="6913" max="6913" width="151.5703125" style="8" bestFit="1" customWidth="1"/>
    <col min="6914" max="7168" width="9.140625" style="8"/>
    <col min="7169" max="7169" width="151.5703125" style="8" bestFit="1" customWidth="1"/>
    <col min="7170" max="7424" width="9.140625" style="8"/>
    <col min="7425" max="7425" width="151.5703125" style="8" bestFit="1" customWidth="1"/>
    <col min="7426" max="7680" width="9.140625" style="8"/>
    <col min="7681" max="7681" width="151.5703125" style="8" bestFit="1" customWidth="1"/>
    <col min="7682" max="7936" width="9.140625" style="8"/>
    <col min="7937" max="7937" width="151.5703125" style="8" bestFit="1" customWidth="1"/>
    <col min="7938" max="8192" width="9.140625" style="8"/>
    <col min="8193" max="8193" width="151.5703125" style="8" bestFit="1" customWidth="1"/>
    <col min="8194" max="8448" width="9.140625" style="8"/>
    <col min="8449" max="8449" width="151.5703125" style="8" bestFit="1" customWidth="1"/>
    <col min="8450" max="8704" width="9.140625" style="8"/>
    <col min="8705" max="8705" width="151.5703125" style="8" bestFit="1" customWidth="1"/>
    <col min="8706" max="8960" width="9.140625" style="8"/>
    <col min="8961" max="8961" width="151.5703125" style="8" bestFit="1" customWidth="1"/>
    <col min="8962" max="9216" width="9.140625" style="8"/>
    <col min="9217" max="9217" width="151.5703125" style="8" bestFit="1" customWidth="1"/>
    <col min="9218" max="9472" width="9.140625" style="8"/>
    <col min="9473" max="9473" width="151.5703125" style="8" bestFit="1" customWidth="1"/>
    <col min="9474" max="9728" width="9.140625" style="8"/>
    <col min="9729" max="9729" width="151.5703125" style="8" bestFit="1" customWidth="1"/>
    <col min="9730" max="9984" width="9.140625" style="8"/>
    <col min="9985" max="9985" width="151.5703125" style="8" bestFit="1" customWidth="1"/>
    <col min="9986" max="10240" width="9.140625" style="8"/>
    <col min="10241" max="10241" width="151.5703125" style="8" bestFit="1" customWidth="1"/>
    <col min="10242" max="10496" width="9.140625" style="8"/>
    <col min="10497" max="10497" width="151.5703125" style="8" bestFit="1" customWidth="1"/>
    <col min="10498" max="10752" width="9.140625" style="8"/>
    <col min="10753" max="10753" width="151.5703125" style="8" bestFit="1" customWidth="1"/>
    <col min="10754" max="11008" width="9.140625" style="8"/>
    <col min="11009" max="11009" width="151.5703125" style="8" bestFit="1" customWidth="1"/>
    <col min="11010" max="11264" width="9.140625" style="8"/>
    <col min="11265" max="11265" width="151.5703125" style="8" bestFit="1" customWidth="1"/>
    <col min="11266" max="11520" width="9.140625" style="8"/>
    <col min="11521" max="11521" width="151.5703125" style="8" bestFit="1" customWidth="1"/>
    <col min="11522" max="11776" width="9.140625" style="8"/>
    <col min="11777" max="11777" width="151.5703125" style="8" bestFit="1" customWidth="1"/>
    <col min="11778" max="12032" width="9.140625" style="8"/>
    <col min="12033" max="12033" width="151.5703125" style="8" bestFit="1" customWidth="1"/>
    <col min="12034" max="12288" width="9.140625" style="8"/>
    <col min="12289" max="12289" width="151.5703125" style="8" bestFit="1" customWidth="1"/>
    <col min="12290" max="12544" width="9.140625" style="8"/>
    <col min="12545" max="12545" width="151.5703125" style="8" bestFit="1" customWidth="1"/>
    <col min="12546" max="12800" width="9.140625" style="8"/>
    <col min="12801" max="12801" width="151.5703125" style="8" bestFit="1" customWidth="1"/>
    <col min="12802" max="13056" width="9.140625" style="8"/>
    <col min="13057" max="13057" width="151.5703125" style="8" bestFit="1" customWidth="1"/>
    <col min="13058" max="13312" width="9.140625" style="8"/>
    <col min="13313" max="13313" width="151.5703125" style="8" bestFit="1" customWidth="1"/>
    <col min="13314" max="13568" width="9.140625" style="8"/>
    <col min="13569" max="13569" width="151.5703125" style="8" bestFit="1" customWidth="1"/>
    <col min="13570" max="13824" width="9.140625" style="8"/>
    <col min="13825" max="13825" width="151.5703125" style="8" bestFit="1" customWidth="1"/>
    <col min="13826" max="14080" width="9.140625" style="8"/>
    <col min="14081" max="14081" width="151.5703125" style="8" bestFit="1" customWidth="1"/>
    <col min="14082" max="14336" width="9.140625" style="8"/>
    <col min="14337" max="14337" width="151.5703125" style="8" bestFit="1" customWidth="1"/>
    <col min="14338" max="14592" width="9.140625" style="8"/>
    <col min="14593" max="14593" width="151.5703125" style="8" bestFit="1" customWidth="1"/>
    <col min="14594" max="14848" width="9.140625" style="8"/>
    <col min="14849" max="14849" width="151.5703125" style="8" bestFit="1" customWidth="1"/>
    <col min="14850" max="15104" width="9.140625" style="8"/>
    <col min="15105" max="15105" width="151.5703125" style="8" bestFit="1" customWidth="1"/>
    <col min="15106" max="15360" width="9.140625" style="8"/>
    <col min="15361" max="15361" width="151.5703125" style="8" bestFit="1" customWidth="1"/>
    <col min="15362" max="15616" width="9.140625" style="8"/>
    <col min="15617" max="15617" width="151.5703125" style="8" bestFit="1" customWidth="1"/>
    <col min="15618" max="15872" width="9.140625" style="8"/>
    <col min="15873" max="15873" width="151.5703125" style="8" bestFit="1" customWidth="1"/>
    <col min="15874" max="16128" width="9.140625" style="8"/>
    <col min="16129" max="16129" width="151.5703125" style="8" bestFit="1" customWidth="1"/>
    <col min="16130" max="16384" width="9.140625" style="8"/>
  </cols>
  <sheetData>
    <row r="1" spans="1:2" ht="20.25" x14ac:dyDescent="0.3">
      <c r="A1" s="9" t="s">
        <v>1216</v>
      </c>
    </row>
    <row r="2" spans="1:2" x14ac:dyDescent="0.2">
      <c r="A2" s="1"/>
    </row>
    <row r="3" spans="1:2" x14ac:dyDescent="0.2">
      <c r="A3" s="1"/>
    </row>
    <row r="4" spans="1:2" x14ac:dyDescent="0.2">
      <c r="A4" s="1" t="s">
        <v>182</v>
      </c>
    </row>
    <row r="6" spans="1:2" x14ac:dyDescent="0.2">
      <c r="A6" s="7" t="s">
        <v>178</v>
      </c>
    </row>
    <row r="7" spans="1:2" x14ac:dyDescent="0.2">
      <c r="A7" s="8" t="s">
        <v>1217</v>
      </c>
      <c r="B7" s="8" t="s">
        <v>180</v>
      </c>
    </row>
    <row r="8" spans="1:2" x14ac:dyDescent="0.2">
      <c r="A8" s="8" t="s">
        <v>1218</v>
      </c>
      <c r="B8" s="8" t="s">
        <v>180</v>
      </c>
    </row>
    <row r="9" spans="1:2" x14ac:dyDescent="0.2">
      <c r="A9" s="8" t="s">
        <v>1219</v>
      </c>
      <c r="B9" s="8" t="s">
        <v>180</v>
      </c>
    </row>
    <row r="10" spans="1:2" x14ac:dyDescent="0.2">
      <c r="A10" s="8" t="s">
        <v>1220</v>
      </c>
      <c r="B10" s="8" t="s">
        <v>180</v>
      </c>
    </row>
    <row r="11" spans="1:2" x14ac:dyDescent="0.2">
      <c r="A11" s="8" t="s">
        <v>1221</v>
      </c>
      <c r="B11" s="8" t="s">
        <v>180</v>
      </c>
    </row>
    <row r="12" spans="1:2" x14ac:dyDescent="0.2">
      <c r="A12" s="8" t="s">
        <v>1222</v>
      </c>
      <c r="B12" s="8" t="s">
        <v>180</v>
      </c>
    </row>
    <row r="13" spans="1:2" x14ac:dyDescent="0.2">
      <c r="A13" s="8" t="s">
        <v>1223</v>
      </c>
      <c r="B13" s="8" t="s">
        <v>180</v>
      </c>
    </row>
    <row r="14" spans="1:2" x14ac:dyDescent="0.2">
      <c r="A14" s="8" t="s">
        <v>1224</v>
      </c>
      <c r="B14" s="8" t="s">
        <v>180</v>
      </c>
    </row>
    <row r="15" spans="1:2" x14ac:dyDescent="0.2">
      <c r="A15" s="7" t="s">
        <v>1225</v>
      </c>
      <c r="B15" s="8" t="s">
        <v>180</v>
      </c>
    </row>
    <row r="16" spans="1:2" x14ac:dyDescent="0.2">
      <c r="A16" s="8" t="s">
        <v>1226</v>
      </c>
      <c r="B16" s="8" t="s">
        <v>180</v>
      </c>
    </row>
    <row r="17" spans="1:2" x14ac:dyDescent="0.2">
      <c r="A17" s="8" t="s">
        <v>1227</v>
      </c>
      <c r="B17" s="8" t="s">
        <v>180</v>
      </c>
    </row>
    <row r="18" spans="1:2" x14ac:dyDescent="0.2">
      <c r="A18" s="8" t="s">
        <v>1228</v>
      </c>
      <c r="B18" s="8" t="s">
        <v>180</v>
      </c>
    </row>
    <row r="19" spans="1:2" x14ac:dyDescent="0.2">
      <c r="A19" s="8" t="s">
        <v>1229</v>
      </c>
      <c r="B19" s="8" t="s">
        <v>179</v>
      </c>
    </row>
    <row r="21" spans="1:2" x14ac:dyDescent="0.2">
      <c r="A21" s="7" t="s">
        <v>1230</v>
      </c>
    </row>
    <row r="22" spans="1:2" x14ac:dyDescent="0.2">
      <c r="A22" s="7"/>
    </row>
    <row r="23" spans="1:2" x14ac:dyDescent="0.2">
      <c r="A23" s="8" t="s">
        <v>181</v>
      </c>
    </row>
    <row r="26" spans="1:2" x14ac:dyDescent="0.2">
      <c r="A26" s="1" t="s">
        <v>184</v>
      </c>
    </row>
    <row r="27" spans="1:2" x14ac:dyDescent="0.2">
      <c r="A27" s="1"/>
    </row>
    <row r="28" spans="1:2" x14ac:dyDescent="0.2">
      <c r="A28" s="8" t="s">
        <v>1411</v>
      </c>
    </row>
    <row r="33" spans="1:1" x14ac:dyDescent="0.2">
      <c r="A33" s="1" t="s">
        <v>183</v>
      </c>
    </row>
    <row r="35" spans="1:1" x14ac:dyDescent="0.2">
      <c r="A35" s="8" t="s">
        <v>1671</v>
      </c>
    </row>
    <row r="38" spans="1:1" x14ac:dyDescent="0.2">
      <c r="A38" s="1" t="s">
        <v>186</v>
      </c>
    </row>
    <row r="39" spans="1:1" x14ac:dyDescent="0.2">
      <c r="A39" s="1"/>
    </row>
    <row r="40" spans="1:1" x14ac:dyDescent="0.2">
      <c r="A40" s="8" t="s">
        <v>1231</v>
      </c>
    </row>
    <row r="41" spans="1:1" x14ac:dyDescent="0.2">
      <c r="A41" s="7" t="s">
        <v>185</v>
      </c>
    </row>
    <row r="42" spans="1:1" x14ac:dyDescent="0.2">
      <c r="A42" s="10"/>
    </row>
    <row r="43" spans="1:1" x14ac:dyDescent="0.2">
      <c r="A43" s="10"/>
    </row>
    <row r="44" spans="1:1" x14ac:dyDescent="0.2">
      <c r="A44" s="10"/>
    </row>
    <row r="46" spans="1:1" x14ac:dyDescent="0.2">
      <c r="A46" s="1"/>
    </row>
    <row r="49" spans="1:1" x14ac:dyDescent="0.2">
      <c r="A49" s="1"/>
    </row>
    <row r="50" spans="1:1" x14ac:dyDescent="0.2">
      <c r="A50" s="1"/>
    </row>
    <row r="51" spans="1:1" x14ac:dyDescent="0.2">
      <c r="A51" s="1"/>
    </row>
    <row r="52" spans="1:1" x14ac:dyDescent="0.2">
      <c r="A52" s="1"/>
    </row>
    <row r="53" spans="1:1" x14ac:dyDescent="0.2">
      <c r="A53" s="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sheetPr>
  <dimension ref="A1:A14"/>
  <sheetViews>
    <sheetView workbookViewId="0"/>
  </sheetViews>
  <sheetFormatPr defaultRowHeight="12.75" x14ac:dyDescent="0.2"/>
  <cols>
    <col min="1" max="1" width="42.7109375" style="19" bestFit="1" customWidth="1"/>
    <col min="2" max="16384" width="9.140625" style="19"/>
  </cols>
  <sheetData>
    <row r="1" spans="1:1" x14ac:dyDescent="0.2">
      <c r="A1" s="20" t="s">
        <v>1232</v>
      </c>
    </row>
    <row r="2" spans="1:1" x14ac:dyDescent="0.2">
      <c r="A2" s="8" t="s">
        <v>1217</v>
      </c>
    </row>
    <row r="3" spans="1:1" x14ac:dyDescent="0.2">
      <c r="A3" s="8" t="s">
        <v>1218</v>
      </c>
    </row>
    <row r="4" spans="1:1" x14ac:dyDescent="0.2">
      <c r="A4" s="8" t="s">
        <v>1219</v>
      </c>
    </row>
    <row r="5" spans="1:1" x14ac:dyDescent="0.2">
      <c r="A5" s="8" t="s">
        <v>1220</v>
      </c>
    </row>
    <row r="6" spans="1:1" x14ac:dyDescent="0.2">
      <c r="A6" s="8" t="s">
        <v>1221</v>
      </c>
    </row>
    <row r="7" spans="1:1" x14ac:dyDescent="0.2">
      <c r="A7" s="8" t="s">
        <v>1222</v>
      </c>
    </row>
    <row r="8" spans="1:1" x14ac:dyDescent="0.2">
      <c r="A8" s="8" t="s">
        <v>1223</v>
      </c>
    </row>
    <row r="9" spans="1:1" x14ac:dyDescent="0.2">
      <c r="A9" s="8" t="s">
        <v>1224</v>
      </c>
    </row>
    <row r="10" spans="1:1" x14ac:dyDescent="0.2">
      <c r="A10" s="7" t="s">
        <v>1225</v>
      </c>
    </row>
    <row r="11" spans="1:1" x14ac:dyDescent="0.2">
      <c r="A11" s="8" t="s">
        <v>1226</v>
      </c>
    </row>
    <row r="12" spans="1:1" x14ac:dyDescent="0.2">
      <c r="A12" s="8" t="s">
        <v>1227</v>
      </c>
    </row>
    <row r="13" spans="1:1" x14ac:dyDescent="0.2">
      <c r="A13" s="8" t="s">
        <v>1228</v>
      </c>
    </row>
    <row r="14" spans="1:1" x14ac:dyDescent="0.2">
      <c r="A14" s="8" t="s">
        <v>1229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3" tint="0.59999389629810485"/>
  </sheetPr>
  <dimension ref="A1:A6"/>
  <sheetViews>
    <sheetView workbookViewId="0"/>
  </sheetViews>
  <sheetFormatPr defaultRowHeight="12.75" x14ac:dyDescent="0.2"/>
  <cols>
    <col min="1" max="1" width="29.28515625" style="19" bestFit="1" customWidth="1"/>
    <col min="2" max="16384" width="9.140625" style="19"/>
  </cols>
  <sheetData>
    <row r="1" spans="1:1" x14ac:dyDescent="0.2">
      <c r="A1" s="20" t="s">
        <v>1243</v>
      </c>
    </row>
    <row r="2" spans="1:1" x14ac:dyDescent="0.2">
      <c r="A2" s="19" t="s">
        <v>1238</v>
      </c>
    </row>
    <row r="3" spans="1:1" x14ac:dyDescent="0.2">
      <c r="A3" s="19" t="s">
        <v>1239</v>
      </c>
    </row>
    <row r="4" spans="1:1" x14ac:dyDescent="0.2">
      <c r="A4" s="19" t="s">
        <v>1240</v>
      </c>
    </row>
    <row r="5" spans="1:1" x14ac:dyDescent="0.2">
      <c r="A5" s="19" t="s">
        <v>1241</v>
      </c>
    </row>
    <row r="6" spans="1:1" x14ac:dyDescent="0.2">
      <c r="A6" s="19" t="s">
        <v>1242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tint="0.59999389629810485"/>
    <pageSetUpPr fitToPage="1"/>
  </sheetPr>
  <dimension ref="A1:M97"/>
  <sheetViews>
    <sheetView zoomScale="85" zoomScaleNormal="85" workbookViewId="0"/>
  </sheetViews>
  <sheetFormatPr defaultRowHeight="14.25" x14ac:dyDescent="0.2"/>
  <cols>
    <col min="1" max="1" width="16.42578125" style="21" bestFit="1" customWidth="1"/>
    <col min="2" max="2" width="21.28515625" style="21" bestFit="1" customWidth="1"/>
    <col min="3" max="3" width="18.42578125" style="21" bestFit="1" customWidth="1"/>
    <col min="4" max="7" width="9.7109375" style="21" customWidth="1"/>
    <col min="8" max="8" width="26.5703125" style="21" bestFit="1" customWidth="1"/>
    <col min="9" max="9" width="15.5703125" style="22" bestFit="1" customWidth="1"/>
    <col min="10" max="10" width="4.5703125" style="15" customWidth="1"/>
    <col min="11" max="11" width="5.140625" style="17" bestFit="1" customWidth="1"/>
    <col min="12" max="12" width="35.42578125" style="17" bestFit="1" customWidth="1"/>
    <col min="13" max="256" width="9.140625" style="15"/>
    <col min="257" max="257" width="15.140625" style="15" bestFit="1" customWidth="1"/>
    <col min="258" max="258" width="18.7109375" style="15" bestFit="1" customWidth="1"/>
    <col min="259" max="259" width="16.5703125" style="15" bestFit="1" customWidth="1"/>
    <col min="260" max="260" width="20.85546875" style="15" bestFit="1" customWidth="1"/>
    <col min="261" max="261" width="18.28515625" style="15" bestFit="1" customWidth="1"/>
    <col min="262" max="262" width="14.7109375" style="15" bestFit="1" customWidth="1"/>
    <col min="263" max="263" width="15.85546875" style="15" bestFit="1" customWidth="1"/>
    <col min="264" max="264" width="26.7109375" style="15" bestFit="1" customWidth="1"/>
    <col min="265" max="265" width="21.140625" style="15" bestFit="1" customWidth="1"/>
    <col min="266" max="266" width="68.85546875" style="15" bestFit="1" customWidth="1"/>
    <col min="267" max="267" width="5" style="15" customWidth="1"/>
    <col min="268" max="268" width="20.85546875" style="15" bestFit="1" customWidth="1"/>
    <col min="269" max="512" width="9.140625" style="15"/>
    <col min="513" max="513" width="15.140625" style="15" bestFit="1" customWidth="1"/>
    <col min="514" max="514" width="18.7109375" style="15" bestFit="1" customWidth="1"/>
    <col min="515" max="515" width="16.5703125" style="15" bestFit="1" customWidth="1"/>
    <col min="516" max="516" width="20.85546875" style="15" bestFit="1" customWidth="1"/>
    <col min="517" max="517" width="18.28515625" style="15" bestFit="1" customWidth="1"/>
    <col min="518" max="518" width="14.7109375" style="15" bestFit="1" customWidth="1"/>
    <col min="519" max="519" width="15.85546875" style="15" bestFit="1" customWidth="1"/>
    <col min="520" max="520" width="26.7109375" style="15" bestFit="1" customWidth="1"/>
    <col min="521" max="521" width="21.140625" style="15" bestFit="1" customWidth="1"/>
    <col min="522" max="522" width="68.85546875" style="15" bestFit="1" customWidth="1"/>
    <col min="523" max="523" width="5" style="15" customWidth="1"/>
    <col min="524" max="524" width="20.85546875" style="15" bestFit="1" customWidth="1"/>
    <col min="525" max="768" width="9.140625" style="15"/>
    <col min="769" max="769" width="15.140625" style="15" bestFit="1" customWidth="1"/>
    <col min="770" max="770" width="18.7109375" style="15" bestFit="1" customWidth="1"/>
    <col min="771" max="771" width="16.5703125" style="15" bestFit="1" customWidth="1"/>
    <col min="772" max="772" width="20.85546875" style="15" bestFit="1" customWidth="1"/>
    <col min="773" max="773" width="18.28515625" style="15" bestFit="1" customWidth="1"/>
    <col min="774" max="774" width="14.7109375" style="15" bestFit="1" customWidth="1"/>
    <col min="775" max="775" width="15.85546875" style="15" bestFit="1" customWidth="1"/>
    <col min="776" max="776" width="26.7109375" style="15" bestFit="1" customWidth="1"/>
    <col min="777" max="777" width="21.140625" style="15" bestFit="1" customWidth="1"/>
    <col min="778" max="778" width="68.85546875" style="15" bestFit="1" customWidth="1"/>
    <col min="779" max="779" width="5" style="15" customWidth="1"/>
    <col min="780" max="780" width="20.85546875" style="15" bestFit="1" customWidth="1"/>
    <col min="781" max="1024" width="9.140625" style="15"/>
    <col min="1025" max="1025" width="15.140625" style="15" bestFit="1" customWidth="1"/>
    <col min="1026" max="1026" width="18.7109375" style="15" bestFit="1" customWidth="1"/>
    <col min="1027" max="1027" width="16.5703125" style="15" bestFit="1" customWidth="1"/>
    <col min="1028" max="1028" width="20.85546875" style="15" bestFit="1" customWidth="1"/>
    <col min="1029" max="1029" width="18.28515625" style="15" bestFit="1" customWidth="1"/>
    <col min="1030" max="1030" width="14.7109375" style="15" bestFit="1" customWidth="1"/>
    <col min="1031" max="1031" width="15.85546875" style="15" bestFit="1" customWidth="1"/>
    <col min="1032" max="1032" width="26.7109375" style="15" bestFit="1" customWidth="1"/>
    <col min="1033" max="1033" width="21.140625" style="15" bestFit="1" customWidth="1"/>
    <col min="1034" max="1034" width="68.85546875" style="15" bestFit="1" customWidth="1"/>
    <col min="1035" max="1035" width="5" style="15" customWidth="1"/>
    <col min="1036" max="1036" width="20.85546875" style="15" bestFit="1" customWidth="1"/>
    <col min="1037" max="1280" width="9.140625" style="15"/>
    <col min="1281" max="1281" width="15.140625" style="15" bestFit="1" customWidth="1"/>
    <col min="1282" max="1282" width="18.7109375" style="15" bestFit="1" customWidth="1"/>
    <col min="1283" max="1283" width="16.5703125" style="15" bestFit="1" customWidth="1"/>
    <col min="1284" max="1284" width="20.85546875" style="15" bestFit="1" customWidth="1"/>
    <col min="1285" max="1285" width="18.28515625" style="15" bestFit="1" customWidth="1"/>
    <col min="1286" max="1286" width="14.7109375" style="15" bestFit="1" customWidth="1"/>
    <col min="1287" max="1287" width="15.85546875" style="15" bestFit="1" customWidth="1"/>
    <col min="1288" max="1288" width="26.7109375" style="15" bestFit="1" customWidth="1"/>
    <col min="1289" max="1289" width="21.140625" style="15" bestFit="1" customWidth="1"/>
    <col min="1290" max="1290" width="68.85546875" style="15" bestFit="1" customWidth="1"/>
    <col min="1291" max="1291" width="5" style="15" customWidth="1"/>
    <col min="1292" max="1292" width="20.85546875" style="15" bestFit="1" customWidth="1"/>
    <col min="1293" max="1536" width="9.140625" style="15"/>
    <col min="1537" max="1537" width="15.140625" style="15" bestFit="1" customWidth="1"/>
    <col min="1538" max="1538" width="18.7109375" style="15" bestFit="1" customWidth="1"/>
    <col min="1539" max="1539" width="16.5703125" style="15" bestFit="1" customWidth="1"/>
    <col min="1540" max="1540" width="20.85546875" style="15" bestFit="1" customWidth="1"/>
    <col min="1541" max="1541" width="18.28515625" style="15" bestFit="1" customWidth="1"/>
    <col min="1542" max="1542" width="14.7109375" style="15" bestFit="1" customWidth="1"/>
    <col min="1543" max="1543" width="15.85546875" style="15" bestFit="1" customWidth="1"/>
    <col min="1544" max="1544" width="26.7109375" style="15" bestFit="1" customWidth="1"/>
    <col min="1545" max="1545" width="21.140625" style="15" bestFit="1" customWidth="1"/>
    <col min="1546" max="1546" width="68.85546875" style="15" bestFit="1" customWidth="1"/>
    <col min="1547" max="1547" width="5" style="15" customWidth="1"/>
    <col min="1548" max="1548" width="20.85546875" style="15" bestFit="1" customWidth="1"/>
    <col min="1549" max="1792" width="9.140625" style="15"/>
    <col min="1793" max="1793" width="15.140625" style="15" bestFit="1" customWidth="1"/>
    <col min="1794" max="1794" width="18.7109375" style="15" bestFit="1" customWidth="1"/>
    <col min="1795" max="1795" width="16.5703125" style="15" bestFit="1" customWidth="1"/>
    <col min="1796" max="1796" width="20.85546875" style="15" bestFit="1" customWidth="1"/>
    <col min="1797" max="1797" width="18.28515625" style="15" bestFit="1" customWidth="1"/>
    <col min="1798" max="1798" width="14.7109375" style="15" bestFit="1" customWidth="1"/>
    <col min="1799" max="1799" width="15.85546875" style="15" bestFit="1" customWidth="1"/>
    <col min="1800" max="1800" width="26.7109375" style="15" bestFit="1" customWidth="1"/>
    <col min="1801" max="1801" width="21.140625" style="15" bestFit="1" customWidth="1"/>
    <col min="1802" max="1802" width="68.85546875" style="15" bestFit="1" customWidth="1"/>
    <col min="1803" max="1803" width="5" style="15" customWidth="1"/>
    <col min="1804" max="1804" width="20.85546875" style="15" bestFit="1" customWidth="1"/>
    <col min="1805" max="2048" width="9.140625" style="15"/>
    <col min="2049" max="2049" width="15.140625" style="15" bestFit="1" customWidth="1"/>
    <col min="2050" max="2050" width="18.7109375" style="15" bestFit="1" customWidth="1"/>
    <col min="2051" max="2051" width="16.5703125" style="15" bestFit="1" customWidth="1"/>
    <col min="2052" max="2052" width="20.85546875" style="15" bestFit="1" customWidth="1"/>
    <col min="2053" max="2053" width="18.28515625" style="15" bestFit="1" customWidth="1"/>
    <col min="2054" max="2054" width="14.7109375" style="15" bestFit="1" customWidth="1"/>
    <col min="2055" max="2055" width="15.85546875" style="15" bestFit="1" customWidth="1"/>
    <col min="2056" max="2056" width="26.7109375" style="15" bestFit="1" customWidth="1"/>
    <col min="2057" max="2057" width="21.140625" style="15" bestFit="1" customWidth="1"/>
    <col min="2058" max="2058" width="68.85546875" style="15" bestFit="1" customWidth="1"/>
    <col min="2059" max="2059" width="5" style="15" customWidth="1"/>
    <col min="2060" max="2060" width="20.85546875" style="15" bestFit="1" customWidth="1"/>
    <col min="2061" max="2304" width="9.140625" style="15"/>
    <col min="2305" max="2305" width="15.140625" style="15" bestFit="1" customWidth="1"/>
    <col min="2306" max="2306" width="18.7109375" style="15" bestFit="1" customWidth="1"/>
    <col min="2307" max="2307" width="16.5703125" style="15" bestFit="1" customWidth="1"/>
    <col min="2308" max="2308" width="20.85546875" style="15" bestFit="1" customWidth="1"/>
    <col min="2309" max="2309" width="18.28515625" style="15" bestFit="1" customWidth="1"/>
    <col min="2310" max="2310" width="14.7109375" style="15" bestFit="1" customWidth="1"/>
    <col min="2311" max="2311" width="15.85546875" style="15" bestFit="1" customWidth="1"/>
    <col min="2312" max="2312" width="26.7109375" style="15" bestFit="1" customWidth="1"/>
    <col min="2313" max="2313" width="21.140625" style="15" bestFit="1" customWidth="1"/>
    <col min="2314" max="2314" width="68.85546875" style="15" bestFit="1" customWidth="1"/>
    <col min="2315" max="2315" width="5" style="15" customWidth="1"/>
    <col min="2316" max="2316" width="20.85546875" style="15" bestFit="1" customWidth="1"/>
    <col min="2317" max="2560" width="9.140625" style="15"/>
    <col min="2561" max="2561" width="15.140625" style="15" bestFit="1" customWidth="1"/>
    <col min="2562" max="2562" width="18.7109375" style="15" bestFit="1" customWidth="1"/>
    <col min="2563" max="2563" width="16.5703125" style="15" bestFit="1" customWidth="1"/>
    <col min="2564" max="2564" width="20.85546875" style="15" bestFit="1" customWidth="1"/>
    <col min="2565" max="2565" width="18.28515625" style="15" bestFit="1" customWidth="1"/>
    <col min="2566" max="2566" width="14.7109375" style="15" bestFit="1" customWidth="1"/>
    <col min="2567" max="2567" width="15.85546875" style="15" bestFit="1" customWidth="1"/>
    <col min="2568" max="2568" width="26.7109375" style="15" bestFit="1" customWidth="1"/>
    <col min="2569" max="2569" width="21.140625" style="15" bestFit="1" customWidth="1"/>
    <col min="2570" max="2570" width="68.85546875" style="15" bestFit="1" customWidth="1"/>
    <col min="2571" max="2571" width="5" style="15" customWidth="1"/>
    <col min="2572" max="2572" width="20.85546875" style="15" bestFit="1" customWidth="1"/>
    <col min="2573" max="2816" width="9.140625" style="15"/>
    <col min="2817" max="2817" width="15.140625" style="15" bestFit="1" customWidth="1"/>
    <col min="2818" max="2818" width="18.7109375" style="15" bestFit="1" customWidth="1"/>
    <col min="2819" max="2819" width="16.5703125" style="15" bestFit="1" customWidth="1"/>
    <col min="2820" max="2820" width="20.85546875" style="15" bestFit="1" customWidth="1"/>
    <col min="2821" max="2821" width="18.28515625" style="15" bestFit="1" customWidth="1"/>
    <col min="2822" max="2822" width="14.7109375" style="15" bestFit="1" customWidth="1"/>
    <col min="2823" max="2823" width="15.85546875" style="15" bestFit="1" customWidth="1"/>
    <col min="2824" max="2824" width="26.7109375" style="15" bestFit="1" customWidth="1"/>
    <col min="2825" max="2825" width="21.140625" style="15" bestFit="1" customWidth="1"/>
    <col min="2826" max="2826" width="68.85546875" style="15" bestFit="1" customWidth="1"/>
    <col min="2827" max="2827" width="5" style="15" customWidth="1"/>
    <col min="2828" max="2828" width="20.85546875" style="15" bestFit="1" customWidth="1"/>
    <col min="2829" max="3072" width="9.140625" style="15"/>
    <col min="3073" max="3073" width="15.140625" style="15" bestFit="1" customWidth="1"/>
    <col min="3074" max="3074" width="18.7109375" style="15" bestFit="1" customWidth="1"/>
    <col min="3075" max="3075" width="16.5703125" style="15" bestFit="1" customWidth="1"/>
    <col min="3076" max="3076" width="20.85546875" style="15" bestFit="1" customWidth="1"/>
    <col min="3077" max="3077" width="18.28515625" style="15" bestFit="1" customWidth="1"/>
    <col min="3078" max="3078" width="14.7109375" style="15" bestFit="1" customWidth="1"/>
    <col min="3079" max="3079" width="15.85546875" style="15" bestFit="1" customWidth="1"/>
    <col min="3080" max="3080" width="26.7109375" style="15" bestFit="1" customWidth="1"/>
    <col min="3081" max="3081" width="21.140625" style="15" bestFit="1" customWidth="1"/>
    <col min="3082" max="3082" width="68.85546875" style="15" bestFit="1" customWidth="1"/>
    <col min="3083" max="3083" width="5" style="15" customWidth="1"/>
    <col min="3084" max="3084" width="20.85546875" style="15" bestFit="1" customWidth="1"/>
    <col min="3085" max="3328" width="9.140625" style="15"/>
    <col min="3329" max="3329" width="15.140625" style="15" bestFit="1" customWidth="1"/>
    <col min="3330" max="3330" width="18.7109375" style="15" bestFit="1" customWidth="1"/>
    <col min="3331" max="3331" width="16.5703125" style="15" bestFit="1" customWidth="1"/>
    <col min="3332" max="3332" width="20.85546875" style="15" bestFit="1" customWidth="1"/>
    <col min="3333" max="3333" width="18.28515625" style="15" bestFit="1" customWidth="1"/>
    <col min="3334" max="3334" width="14.7109375" style="15" bestFit="1" customWidth="1"/>
    <col min="3335" max="3335" width="15.85546875" style="15" bestFit="1" customWidth="1"/>
    <col min="3336" max="3336" width="26.7109375" style="15" bestFit="1" customWidth="1"/>
    <col min="3337" max="3337" width="21.140625" style="15" bestFit="1" customWidth="1"/>
    <col min="3338" max="3338" width="68.85546875" style="15" bestFit="1" customWidth="1"/>
    <col min="3339" max="3339" width="5" style="15" customWidth="1"/>
    <col min="3340" max="3340" width="20.85546875" style="15" bestFit="1" customWidth="1"/>
    <col min="3341" max="3584" width="9.140625" style="15"/>
    <col min="3585" max="3585" width="15.140625" style="15" bestFit="1" customWidth="1"/>
    <col min="3586" max="3586" width="18.7109375" style="15" bestFit="1" customWidth="1"/>
    <col min="3587" max="3587" width="16.5703125" style="15" bestFit="1" customWidth="1"/>
    <col min="3588" max="3588" width="20.85546875" style="15" bestFit="1" customWidth="1"/>
    <col min="3589" max="3589" width="18.28515625" style="15" bestFit="1" customWidth="1"/>
    <col min="3590" max="3590" width="14.7109375" style="15" bestFit="1" customWidth="1"/>
    <col min="3591" max="3591" width="15.85546875" style="15" bestFit="1" customWidth="1"/>
    <col min="3592" max="3592" width="26.7109375" style="15" bestFit="1" customWidth="1"/>
    <col min="3593" max="3593" width="21.140625" style="15" bestFit="1" customWidth="1"/>
    <col min="3594" max="3594" width="68.85546875" style="15" bestFit="1" customWidth="1"/>
    <col min="3595" max="3595" width="5" style="15" customWidth="1"/>
    <col min="3596" max="3596" width="20.85546875" style="15" bestFit="1" customWidth="1"/>
    <col min="3597" max="3840" width="9.140625" style="15"/>
    <col min="3841" max="3841" width="15.140625" style="15" bestFit="1" customWidth="1"/>
    <col min="3842" max="3842" width="18.7109375" style="15" bestFit="1" customWidth="1"/>
    <col min="3843" max="3843" width="16.5703125" style="15" bestFit="1" customWidth="1"/>
    <col min="3844" max="3844" width="20.85546875" style="15" bestFit="1" customWidth="1"/>
    <col min="3845" max="3845" width="18.28515625" style="15" bestFit="1" customWidth="1"/>
    <col min="3846" max="3846" width="14.7109375" style="15" bestFit="1" customWidth="1"/>
    <col min="3847" max="3847" width="15.85546875" style="15" bestFit="1" customWidth="1"/>
    <col min="3848" max="3848" width="26.7109375" style="15" bestFit="1" customWidth="1"/>
    <col min="3849" max="3849" width="21.140625" style="15" bestFit="1" customWidth="1"/>
    <col min="3850" max="3850" width="68.85546875" style="15" bestFit="1" customWidth="1"/>
    <col min="3851" max="3851" width="5" style="15" customWidth="1"/>
    <col min="3852" max="3852" width="20.85546875" style="15" bestFit="1" customWidth="1"/>
    <col min="3853" max="4096" width="9.140625" style="15"/>
    <col min="4097" max="4097" width="15.140625" style="15" bestFit="1" customWidth="1"/>
    <col min="4098" max="4098" width="18.7109375" style="15" bestFit="1" customWidth="1"/>
    <col min="4099" max="4099" width="16.5703125" style="15" bestFit="1" customWidth="1"/>
    <col min="4100" max="4100" width="20.85546875" style="15" bestFit="1" customWidth="1"/>
    <col min="4101" max="4101" width="18.28515625" style="15" bestFit="1" customWidth="1"/>
    <col min="4102" max="4102" width="14.7109375" style="15" bestFit="1" customWidth="1"/>
    <col min="4103" max="4103" width="15.85546875" style="15" bestFit="1" customWidth="1"/>
    <col min="4104" max="4104" width="26.7109375" style="15" bestFit="1" customWidth="1"/>
    <col min="4105" max="4105" width="21.140625" style="15" bestFit="1" customWidth="1"/>
    <col min="4106" max="4106" width="68.85546875" style="15" bestFit="1" customWidth="1"/>
    <col min="4107" max="4107" width="5" style="15" customWidth="1"/>
    <col min="4108" max="4108" width="20.85546875" style="15" bestFit="1" customWidth="1"/>
    <col min="4109" max="4352" width="9.140625" style="15"/>
    <col min="4353" max="4353" width="15.140625" style="15" bestFit="1" customWidth="1"/>
    <col min="4354" max="4354" width="18.7109375" style="15" bestFit="1" customWidth="1"/>
    <col min="4355" max="4355" width="16.5703125" style="15" bestFit="1" customWidth="1"/>
    <col min="4356" max="4356" width="20.85546875" style="15" bestFit="1" customWidth="1"/>
    <col min="4357" max="4357" width="18.28515625" style="15" bestFit="1" customWidth="1"/>
    <col min="4358" max="4358" width="14.7109375" style="15" bestFit="1" customWidth="1"/>
    <col min="4359" max="4359" width="15.85546875" style="15" bestFit="1" customWidth="1"/>
    <col min="4360" max="4360" width="26.7109375" style="15" bestFit="1" customWidth="1"/>
    <col min="4361" max="4361" width="21.140625" style="15" bestFit="1" customWidth="1"/>
    <col min="4362" max="4362" width="68.85546875" style="15" bestFit="1" customWidth="1"/>
    <col min="4363" max="4363" width="5" style="15" customWidth="1"/>
    <col min="4364" max="4364" width="20.85546875" style="15" bestFit="1" customWidth="1"/>
    <col min="4365" max="4608" width="9.140625" style="15"/>
    <col min="4609" max="4609" width="15.140625" style="15" bestFit="1" customWidth="1"/>
    <col min="4610" max="4610" width="18.7109375" style="15" bestFit="1" customWidth="1"/>
    <col min="4611" max="4611" width="16.5703125" style="15" bestFit="1" customWidth="1"/>
    <col min="4612" max="4612" width="20.85546875" style="15" bestFit="1" customWidth="1"/>
    <col min="4613" max="4613" width="18.28515625" style="15" bestFit="1" customWidth="1"/>
    <col min="4614" max="4614" width="14.7109375" style="15" bestFit="1" customWidth="1"/>
    <col min="4615" max="4615" width="15.85546875" style="15" bestFit="1" customWidth="1"/>
    <col min="4616" max="4616" width="26.7109375" style="15" bestFit="1" customWidth="1"/>
    <col min="4617" max="4617" width="21.140625" style="15" bestFit="1" customWidth="1"/>
    <col min="4618" max="4618" width="68.85546875" style="15" bestFit="1" customWidth="1"/>
    <col min="4619" max="4619" width="5" style="15" customWidth="1"/>
    <col min="4620" max="4620" width="20.85546875" style="15" bestFit="1" customWidth="1"/>
    <col min="4621" max="4864" width="9.140625" style="15"/>
    <col min="4865" max="4865" width="15.140625" style="15" bestFit="1" customWidth="1"/>
    <col min="4866" max="4866" width="18.7109375" style="15" bestFit="1" customWidth="1"/>
    <col min="4867" max="4867" width="16.5703125" style="15" bestFit="1" customWidth="1"/>
    <col min="4868" max="4868" width="20.85546875" style="15" bestFit="1" customWidth="1"/>
    <col min="4869" max="4869" width="18.28515625" style="15" bestFit="1" customWidth="1"/>
    <col min="4870" max="4870" width="14.7109375" style="15" bestFit="1" customWidth="1"/>
    <col min="4871" max="4871" width="15.85546875" style="15" bestFit="1" customWidth="1"/>
    <col min="4872" max="4872" width="26.7109375" style="15" bestFit="1" customWidth="1"/>
    <col min="4873" max="4873" width="21.140625" style="15" bestFit="1" customWidth="1"/>
    <col min="4874" max="4874" width="68.85546875" style="15" bestFit="1" customWidth="1"/>
    <col min="4875" max="4875" width="5" style="15" customWidth="1"/>
    <col min="4876" max="4876" width="20.85546875" style="15" bestFit="1" customWidth="1"/>
    <col min="4877" max="5120" width="9.140625" style="15"/>
    <col min="5121" max="5121" width="15.140625" style="15" bestFit="1" customWidth="1"/>
    <col min="5122" max="5122" width="18.7109375" style="15" bestFit="1" customWidth="1"/>
    <col min="5123" max="5123" width="16.5703125" style="15" bestFit="1" customWidth="1"/>
    <col min="5124" max="5124" width="20.85546875" style="15" bestFit="1" customWidth="1"/>
    <col min="5125" max="5125" width="18.28515625" style="15" bestFit="1" customWidth="1"/>
    <col min="5126" max="5126" width="14.7109375" style="15" bestFit="1" customWidth="1"/>
    <col min="5127" max="5127" width="15.85546875" style="15" bestFit="1" customWidth="1"/>
    <col min="5128" max="5128" width="26.7109375" style="15" bestFit="1" customWidth="1"/>
    <col min="5129" max="5129" width="21.140625" style="15" bestFit="1" customWidth="1"/>
    <col min="5130" max="5130" width="68.85546875" style="15" bestFit="1" customWidth="1"/>
    <col min="5131" max="5131" width="5" style="15" customWidth="1"/>
    <col min="5132" max="5132" width="20.85546875" style="15" bestFit="1" customWidth="1"/>
    <col min="5133" max="5376" width="9.140625" style="15"/>
    <col min="5377" max="5377" width="15.140625" style="15" bestFit="1" customWidth="1"/>
    <col min="5378" max="5378" width="18.7109375" style="15" bestFit="1" customWidth="1"/>
    <col min="5379" max="5379" width="16.5703125" style="15" bestFit="1" customWidth="1"/>
    <col min="5380" max="5380" width="20.85546875" style="15" bestFit="1" customWidth="1"/>
    <col min="5381" max="5381" width="18.28515625" style="15" bestFit="1" customWidth="1"/>
    <col min="5382" max="5382" width="14.7109375" style="15" bestFit="1" customWidth="1"/>
    <col min="5383" max="5383" width="15.85546875" style="15" bestFit="1" customWidth="1"/>
    <col min="5384" max="5384" width="26.7109375" style="15" bestFit="1" customWidth="1"/>
    <col min="5385" max="5385" width="21.140625" style="15" bestFit="1" customWidth="1"/>
    <col min="5386" max="5386" width="68.85546875" style="15" bestFit="1" customWidth="1"/>
    <col min="5387" max="5387" width="5" style="15" customWidth="1"/>
    <col min="5388" max="5388" width="20.85546875" style="15" bestFit="1" customWidth="1"/>
    <col min="5389" max="5632" width="9.140625" style="15"/>
    <col min="5633" max="5633" width="15.140625" style="15" bestFit="1" customWidth="1"/>
    <col min="5634" max="5634" width="18.7109375" style="15" bestFit="1" customWidth="1"/>
    <col min="5635" max="5635" width="16.5703125" style="15" bestFit="1" customWidth="1"/>
    <col min="5636" max="5636" width="20.85546875" style="15" bestFit="1" customWidth="1"/>
    <col min="5637" max="5637" width="18.28515625" style="15" bestFit="1" customWidth="1"/>
    <col min="5638" max="5638" width="14.7109375" style="15" bestFit="1" customWidth="1"/>
    <col min="5639" max="5639" width="15.85546875" style="15" bestFit="1" customWidth="1"/>
    <col min="5640" max="5640" width="26.7109375" style="15" bestFit="1" customWidth="1"/>
    <col min="5641" max="5641" width="21.140625" style="15" bestFit="1" customWidth="1"/>
    <col min="5642" max="5642" width="68.85546875" style="15" bestFit="1" customWidth="1"/>
    <col min="5643" max="5643" width="5" style="15" customWidth="1"/>
    <col min="5644" max="5644" width="20.85546875" style="15" bestFit="1" customWidth="1"/>
    <col min="5645" max="5888" width="9.140625" style="15"/>
    <col min="5889" max="5889" width="15.140625" style="15" bestFit="1" customWidth="1"/>
    <col min="5890" max="5890" width="18.7109375" style="15" bestFit="1" customWidth="1"/>
    <col min="5891" max="5891" width="16.5703125" style="15" bestFit="1" customWidth="1"/>
    <col min="5892" max="5892" width="20.85546875" style="15" bestFit="1" customWidth="1"/>
    <col min="5893" max="5893" width="18.28515625" style="15" bestFit="1" customWidth="1"/>
    <col min="5894" max="5894" width="14.7109375" style="15" bestFit="1" customWidth="1"/>
    <col min="5895" max="5895" width="15.85546875" style="15" bestFit="1" customWidth="1"/>
    <col min="5896" max="5896" width="26.7109375" style="15" bestFit="1" customWidth="1"/>
    <col min="5897" max="5897" width="21.140625" style="15" bestFit="1" customWidth="1"/>
    <col min="5898" max="5898" width="68.85546875" style="15" bestFit="1" customWidth="1"/>
    <col min="5899" max="5899" width="5" style="15" customWidth="1"/>
    <col min="5900" max="5900" width="20.85546875" style="15" bestFit="1" customWidth="1"/>
    <col min="5901" max="6144" width="9.140625" style="15"/>
    <col min="6145" max="6145" width="15.140625" style="15" bestFit="1" customWidth="1"/>
    <col min="6146" max="6146" width="18.7109375" style="15" bestFit="1" customWidth="1"/>
    <col min="6147" max="6147" width="16.5703125" style="15" bestFit="1" customWidth="1"/>
    <col min="6148" max="6148" width="20.85546875" style="15" bestFit="1" customWidth="1"/>
    <col min="6149" max="6149" width="18.28515625" style="15" bestFit="1" customWidth="1"/>
    <col min="6150" max="6150" width="14.7109375" style="15" bestFit="1" customWidth="1"/>
    <col min="6151" max="6151" width="15.85546875" style="15" bestFit="1" customWidth="1"/>
    <col min="6152" max="6152" width="26.7109375" style="15" bestFit="1" customWidth="1"/>
    <col min="6153" max="6153" width="21.140625" style="15" bestFit="1" customWidth="1"/>
    <col min="6154" max="6154" width="68.85546875" style="15" bestFit="1" customWidth="1"/>
    <col min="6155" max="6155" width="5" style="15" customWidth="1"/>
    <col min="6156" max="6156" width="20.85546875" style="15" bestFit="1" customWidth="1"/>
    <col min="6157" max="6400" width="9.140625" style="15"/>
    <col min="6401" max="6401" width="15.140625" style="15" bestFit="1" customWidth="1"/>
    <col min="6402" max="6402" width="18.7109375" style="15" bestFit="1" customWidth="1"/>
    <col min="6403" max="6403" width="16.5703125" style="15" bestFit="1" customWidth="1"/>
    <col min="6404" max="6404" width="20.85546875" style="15" bestFit="1" customWidth="1"/>
    <col min="6405" max="6405" width="18.28515625" style="15" bestFit="1" customWidth="1"/>
    <col min="6406" max="6406" width="14.7109375" style="15" bestFit="1" customWidth="1"/>
    <col min="6407" max="6407" width="15.85546875" style="15" bestFit="1" customWidth="1"/>
    <col min="6408" max="6408" width="26.7109375" style="15" bestFit="1" customWidth="1"/>
    <col min="6409" max="6409" width="21.140625" style="15" bestFit="1" customWidth="1"/>
    <col min="6410" max="6410" width="68.85546875" style="15" bestFit="1" customWidth="1"/>
    <col min="6411" max="6411" width="5" style="15" customWidth="1"/>
    <col min="6412" max="6412" width="20.85546875" style="15" bestFit="1" customWidth="1"/>
    <col min="6413" max="6656" width="9.140625" style="15"/>
    <col min="6657" max="6657" width="15.140625" style="15" bestFit="1" customWidth="1"/>
    <col min="6658" max="6658" width="18.7109375" style="15" bestFit="1" customWidth="1"/>
    <col min="6659" max="6659" width="16.5703125" style="15" bestFit="1" customWidth="1"/>
    <col min="6660" max="6660" width="20.85546875" style="15" bestFit="1" customWidth="1"/>
    <col min="6661" max="6661" width="18.28515625" style="15" bestFit="1" customWidth="1"/>
    <col min="6662" max="6662" width="14.7109375" style="15" bestFit="1" customWidth="1"/>
    <col min="6663" max="6663" width="15.85546875" style="15" bestFit="1" customWidth="1"/>
    <col min="6664" max="6664" width="26.7109375" style="15" bestFit="1" customWidth="1"/>
    <col min="6665" max="6665" width="21.140625" style="15" bestFit="1" customWidth="1"/>
    <col min="6666" max="6666" width="68.85546875" style="15" bestFit="1" customWidth="1"/>
    <col min="6667" max="6667" width="5" style="15" customWidth="1"/>
    <col min="6668" max="6668" width="20.85546875" style="15" bestFit="1" customWidth="1"/>
    <col min="6669" max="6912" width="9.140625" style="15"/>
    <col min="6913" max="6913" width="15.140625" style="15" bestFit="1" customWidth="1"/>
    <col min="6914" max="6914" width="18.7109375" style="15" bestFit="1" customWidth="1"/>
    <col min="6915" max="6915" width="16.5703125" style="15" bestFit="1" customWidth="1"/>
    <col min="6916" max="6916" width="20.85546875" style="15" bestFit="1" customWidth="1"/>
    <col min="6917" max="6917" width="18.28515625" style="15" bestFit="1" customWidth="1"/>
    <col min="6918" max="6918" width="14.7109375" style="15" bestFit="1" customWidth="1"/>
    <col min="6919" max="6919" width="15.85546875" style="15" bestFit="1" customWidth="1"/>
    <col min="6920" max="6920" width="26.7109375" style="15" bestFit="1" customWidth="1"/>
    <col min="6921" max="6921" width="21.140625" style="15" bestFit="1" customWidth="1"/>
    <col min="6922" max="6922" width="68.85546875" style="15" bestFit="1" customWidth="1"/>
    <col min="6923" max="6923" width="5" style="15" customWidth="1"/>
    <col min="6924" max="6924" width="20.85546875" style="15" bestFit="1" customWidth="1"/>
    <col min="6925" max="7168" width="9.140625" style="15"/>
    <col min="7169" max="7169" width="15.140625" style="15" bestFit="1" customWidth="1"/>
    <col min="7170" max="7170" width="18.7109375" style="15" bestFit="1" customWidth="1"/>
    <col min="7171" max="7171" width="16.5703125" style="15" bestFit="1" customWidth="1"/>
    <col min="7172" max="7172" width="20.85546875" style="15" bestFit="1" customWidth="1"/>
    <col min="7173" max="7173" width="18.28515625" style="15" bestFit="1" customWidth="1"/>
    <col min="7174" max="7174" width="14.7109375" style="15" bestFit="1" customWidth="1"/>
    <col min="7175" max="7175" width="15.85546875" style="15" bestFit="1" customWidth="1"/>
    <col min="7176" max="7176" width="26.7109375" style="15" bestFit="1" customWidth="1"/>
    <col min="7177" max="7177" width="21.140625" style="15" bestFit="1" customWidth="1"/>
    <col min="7178" max="7178" width="68.85546875" style="15" bestFit="1" customWidth="1"/>
    <col min="7179" max="7179" width="5" style="15" customWidth="1"/>
    <col min="7180" max="7180" width="20.85546875" style="15" bestFit="1" customWidth="1"/>
    <col min="7181" max="7424" width="9.140625" style="15"/>
    <col min="7425" max="7425" width="15.140625" style="15" bestFit="1" customWidth="1"/>
    <col min="7426" max="7426" width="18.7109375" style="15" bestFit="1" customWidth="1"/>
    <col min="7427" max="7427" width="16.5703125" style="15" bestFit="1" customWidth="1"/>
    <col min="7428" max="7428" width="20.85546875" style="15" bestFit="1" customWidth="1"/>
    <col min="7429" max="7429" width="18.28515625" style="15" bestFit="1" customWidth="1"/>
    <col min="7430" max="7430" width="14.7109375" style="15" bestFit="1" customWidth="1"/>
    <col min="7431" max="7431" width="15.85546875" style="15" bestFit="1" customWidth="1"/>
    <col min="7432" max="7432" width="26.7109375" style="15" bestFit="1" customWidth="1"/>
    <col min="7433" max="7433" width="21.140625" style="15" bestFit="1" customWidth="1"/>
    <col min="7434" max="7434" width="68.85546875" style="15" bestFit="1" customWidth="1"/>
    <col min="7435" max="7435" width="5" style="15" customWidth="1"/>
    <col min="7436" max="7436" width="20.85546875" style="15" bestFit="1" customWidth="1"/>
    <col min="7437" max="7680" width="9.140625" style="15"/>
    <col min="7681" max="7681" width="15.140625" style="15" bestFit="1" customWidth="1"/>
    <col min="7682" max="7682" width="18.7109375" style="15" bestFit="1" customWidth="1"/>
    <col min="7683" max="7683" width="16.5703125" style="15" bestFit="1" customWidth="1"/>
    <col min="7684" max="7684" width="20.85546875" style="15" bestFit="1" customWidth="1"/>
    <col min="7685" max="7685" width="18.28515625" style="15" bestFit="1" customWidth="1"/>
    <col min="7686" max="7686" width="14.7109375" style="15" bestFit="1" customWidth="1"/>
    <col min="7687" max="7687" width="15.85546875" style="15" bestFit="1" customWidth="1"/>
    <col min="7688" max="7688" width="26.7109375" style="15" bestFit="1" customWidth="1"/>
    <col min="7689" max="7689" width="21.140625" style="15" bestFit="1" customWidth="1"/>
    <col min="7690" max="7690" width="68.85546875" style="15" bestFit="1" customWidth="1"/>
    <col min="7691" max="7691" width="5" style="15" customWidth="1"/>
    <col min="7692" max="7692" width="20.85546875" style="15" bestFit="1" customWidth="1"/>
    <col min="7693" max="7936" width="9.140625" style="15"/>
    <col min="7937" max="7937" width="15.140625" style="15" bestFit="1" customWidth="1"/>
    <col min="7938" max="7938" width="18.7109375" style="15" bestFit="1" customWidth="1"/>
    <col min="7939" max="7939" width="16.5703125" style="15" bestFit="1" customWidth="1"/>
    <col min="7940" max="7940" width="20.85546875" style="15" bestFit="1" customWidth="1"/>
    <col min="7941" max="7941" width="18.28515625" style="15" bestFit="1" customWidth="1"/>
    <col min="7942" max="7942" width="14.7109375" style="15" bestFit="1" customWidth="1"/>
    <col min="7943" max="7943" width="15.85546875" style="15" bestFit="1" customWidth="1"/>
    <col min="7944" max="7944" width="26.7109375" style="15" bestFit="1" customWidth="1"/>
    <col min="7945" max="7945" width="21.140625" style="15" bestFit="1" customWidth="1"/>
    <col min="7946" max="7946" width="68.85546875" style="15" bestFit="1" customWidth="1"/>
    <col min="7947" max="7947" width="5" style="15" customWidth="1"/>
    <col min="7948" max="7948" width="20.85546875" style="15" bestFit="1" customWidth="1"/>
    <col min="7949" max="8192" width="9.140625" style="15"/>
    <col min="8193" max="8193" width="15.140625" style="15" bestFit="1" customWidth="1"/>
    <col min="8194" max="8194" width="18.7109375" style="15" bestFit="1" customWidth="1"/>
    <col min="8195" max="8195" width="16.5703125" style="15" bestFit="1" customWidth="1"/>
    <col min="8196" max="8196" width="20.85546875" style="15" bestFit="1" customWidth="1"/>
    <col min="8197" max="8197" width="18.28515625" style="15" bestFit="1" customWidth="1"/>
    <col min="8198" max="8198" width="14.7109375" style="15" bestFit="1" customWidth="1"/>
    <col min="8199" max="8199" width="15.85546875" style="15" bestFit="1" customWidth="1"/>
    <col min="8200" max="8200" width="26.7109375" style="15" bestFit="1" customWidth="1"/>
    <col min="8201" max="8201" width="21.140625" style="15" bestFit="1" customWidth="1"/>
    <col min="8202" max="8202" width="68.85546875" style="15" bestFit="1" customWidth="1"/>
    <col min="8203" max="8203" width="5" style="15" customWidth="1"/>
    <col min="8204" max="8204" width="20.85546875" style="15" bestFit="1" customWidth="1"/>
    <col min="8205" max="8448" width="9.140625" style="15"/>
    <col min="8449" max="8449" width="15.140625" style="15" bestFit="1" customWidth="1"/>
    <col min="8450" max="8450" width="18.7109375" style="15" bestFit="1" customWidth="1"/>
    <col min="8451" max="8451" width="16.5703125" style="15" bestFit="1" customWidth="1"/>
    <col min="8452" max="8452" width="20.85546875" style="15" bestFit="1" customWidth="1"/>
    <col min="8453" max="8453" width="18.28515625" style="15" bestFit="1" customWidth="1"/>
    <col min="8454" max="8454" width="14.7109375" style="15" bestFit="1" customWidth="1"/>
    <col min="8455" max="8455" width="15.85546875" style="15" bestFit="1" customWidth="1"/>
    <col min="8456" max="8456" width="26.7109375" style="15" bestFit="1" customWidth="1"/>
    <col min="8457" max="8457" width="21.140625" style="15" bestFit="1" customWidth="1"/>
    <col min="8458" max="8458" width="68.85546875" style="15" bestFit="1" customWidth="1"/>
    <col min="8459" max="8459" width="5" style="15" customWidth="1"/>
    <col min="8460" max="8460" width="20.85546875" style="15" bestFit="1" customWidth="1"/>
    <col min="8461" max="8704" width="9.140625" style="15"/>
    <col min="8705" max="8705" width="15.140625" style="15" bestFit="1" customWidth="1"/>
    <col min="8706" max="8706" width="18.7109375" style="15" bestFit="1" customWidth="1"/>
    <col min="8707" max="8707" width="16.5703125" style="15" bestFit="1" customWidth="1"/>
    <col min="8708" max="8708" width="20.85546875" style="15" bestFit="1" customWidth="1"/>
    <col min="8709" max="8709" width="18.28515625" style="15" bestFit="1" customWidth="1"/>
    <col min="8710" max="8710" width="14.7109375" style="15" bestFit="1" customWidth="1"/>
    <col min="8711" max="8711" width="15.85546875" style="15" bestFit="1" customWidth="1"/>
    <col min="8712" max="8712" width="26.7109375" style="15" bestFit="1" customWidth="1"/>
    <col min="8713" max="8713" width="21.140625" style="15" bestFit="1" customWidth="1"/>
    <col min="8714" max="8714" width="68.85546875" style="15" bestFit="1" customWidth="1"/>
    <col min="8715" max="8715" width="5" style="15" customWidth="1"/>
    <col min="8716" max="8716" width="20.85546875" style="15" bestFit="1" customWidth="1"/>
    <col min="8717" max="8960" width="9.140625" style="15"/>
    <col min="8961" max="8961" width="15.140625" style="15" bestFit="1" customWidth="1"/>
    <col min="8962" max="8962" width="18.7109375" style="15" bestFit="1" customWidth="1"/>
    <col min="8963" max="8963" width="16.5703125" style="15" bestFit="1" customWidth="1"/>
    <col min="8964" max="8964" width="20.85546875" style="15" bestFit="1" customWidth="1"/>
    <col min="8965" max="8965" width="18.28515625" style="15" bestFit="1" customWidth="1"/>
    <col min="8966" max="8966" width="14.7109375" style="15" bestFit="1" customWidth="1"/>
    <col min="8967" max="8967" width="15.85546875" style="15" bestFit="1" customWidth="1"/>
    <col min="8968" max="8968" width="26.7109375" style="15" bestFit="1" customWidth="1"/>
    <col min="8969" max="8969" width="21.140625" style="15" bestFit="1" customWidth="1"/>
    <col min="8970" max="8970" width="68.85546875" style="15" bestFit="1" customWidth="1"/>
    <col min="8971" max="8971" width="5" style="15" customWidth="1"/>
    <col min="8972" max="8972" width="20.85546875" style="15" bestFit="1" customWidth="1"/>
    <col min="8973" max="9216" width="9.140625" style="15"/>
    <col min="9217" max="9217" width="15.140625" style="15" bestFit="1" customWidth="1"/>
    <col min="9218" max="9218" width="18.7109375" style="15" bestFit="1" customWidth="1"/>
    <col min="9219" max="9219" width="16.5703125" style="15" bestFit="1" customWidth="1"/>
    <col min="9220" max="9220" width="20.85546875" style="15" bestFit="1" customWidth="1"/>
    <col min="9221" max="9221" width="18.28515625" style="15" bestFit="1" customWidth="1"/>
    <col min="9222" max="9222" width="14.7109375" style="15" bestFit="1" customWidth="1"/>
    <col min="9223" max="9223" width="15.85546875" style="15" bestFit="1" customWidth="1"/>
    <col min="9224" max="9224" width="26.7109375" style="15" bestFit="1" customWidth="1"/>
    <col min="9225" max="9225" width="21.140625" style="15" bestFit="1" customWidth="1"/>
    <col min="9226" max="9226" width="68.85546875" style="15" bestFit="1" customWidth="1"/>
    <col min="9227" max="9227" width="5" style="15" customWidth="1"/>
    <col min="9228" max="9228" width="20.85546875" style="15" bestFit="1" customWidth="1"/>
    <col min="9229" max="9472" width="9.140625" style="15"/>
    <col min="9473" max="9473" width="15.140625" style="15" bestFit="1" customWidth="1"/>
    <col min="9474" max="9474" width="18.7109375" style="15" bestFit="1" customWidth="1"/>
    <col min="9475" max="9475" width="16.5703125" style="15" bestFit="1" customWidth="1"/>
    <col min="9476" max="9476" width="20.85546875" style="15" bestFit="1" customWidth="1"/>
    <col min="9477" max="9477" width="18.28515625" style="15" bestFit="1" customWidth="1"/>
    <col min="9478" max="9478" width="14.7109375" style="15" bestFit="1" customWidth="1"/>
    <col min="9479" max="9479" width="15.85546875" style="15" bestFit="1" customWidth="1"/>
    <col min="9480" max="9480" width="26.7109375" style="15" bestFit="1" customWidth="1"/>
    <col min="9481" max="9481" width="21.140625" style="15" bestFit="1" customWidth="1"/>
    <col min="9482" max="9482" width="68.85546875" style="15" bestFit="1" customWidth="1"/>
    <col min="9483" max="9483" width="5" style="15" customWidth="1"/>
    <col min="9484" max="9484" width="20.85546875" style="15" bestFit="1" customWidth="1"/>
    <col min="9485" max="9728" width="9.140625" style="15"/>
    <col min="9729" max="9729" width="15.140625" style="15" bestFit="1" customWidth="1"/>
    <col min="9730" max="9730" width="18.7109375" style="15" bestFit="1" customWidth="1"/>
    <col min="9731" max="9731" width="16.5703125" style="15" bestFit="1" customWidth="1"/>
    <col min="9732" max="9732" width="20.85546875" style="15" bestFit="1" customWidth="1"/>
    <col min="9733" max="9733" width="18.28515625" style="15" bestFit="1" customWidth="1"/>
    <col min="9734" max="9734" width="14.7109375" style="15" bestFit="1" customWidth="1"/>
    <col min="9735" max="9735" width="15.85546875" style="15" bestFit="1" customWidth="1"/>
    <col min="9736" max="9736" width="26.7109375" style="15" bestFit="1" customWidth="1"/>
    <col min="9737" max="9737" width="21.140625" style="15" bestFit="1" customWidth="1"/>
    <col min="9738" max="9738" width="68.85546875" style="15" bestFit="1" customWidth="1"/>
    <col min="9739" max="9739" width="5" style="15" customWidth="1"/>
    <col min="9740" max="9740" width="20.85546875" style="15" bestFit="1" customWidth="1"/>
    <col min="9741" max="9984" width="9.140625" style="15"/>
    <col min="9985" max="9985" width="15.140625" style="15" bestFit="1" customWidth="1"/>
    <col min="9986" max="9986" width="18.7109375" style="15" bestFit="1" customWidth="1"/>
    <col min="9987" max="9987" width="16.5703125" style="15" bestFit="1" customWidth="1"/>
    <col min="9988" max="9988" width="20.85546875" style="15" bestFit="1" customWidth="1"/>
    <col min="9989" max="9989" width="18.28515625" style="15" bestFit="1" customWidth="1"/>
    <col min="9990" max="9990" width="14.7109375" style="15" bestFit="1" customWidth="1"/>
    <col min="9991" max="9991" width="15.85546875" style="15" bestFit="1" customWidth="1"/>
    <col min="9992" max="9992" width="26.7109375" style="15" bestFit="1" customWidth="1"/>
    <col min="9993" max="9993" width="21.140625" style="15" bestFit="1" customWidth="1"/>
    <col min="9994" max="9994" width="68.85546875" style="15" bestFit="1" customWidth="1"/>
    <col min="9995" max="9995" width="5" style="15" customWidth="1"/>
    <col min="9996" max="9996" width="20.85546875" style="15" bestFit="1" customWidth="1"/>
    <col min="9997" max="10240" width="9.140625" style="15"/>
    <col min="10241" max="10241" width="15.140625" style="15" bestFit="1" customWidth="1"/>
    <col min="10242" max="10242" width="18.7109375" style="15" bestFit="1" customWidth="1"/>
    <col min="10243" max="10243" width="16.5703125" style="15" bestFit="1" customWidth="1"/>
    <col min="10244" max="10244" width="20.85546875" style="15" bestFit="1" customWidth="1"/>
    <col min="10245" max="10245" width="18.28515625" style="15" bestFit="1" customWidth="1"/>
    <col min="10246" max="10246" width="14.7109375" style="15" bestFit="1" customWidth="1"/>
    <col min="10247" max="10247" width="15.85546875" style="15" bestFit="1" customWidth="1"/>
    <col min="10248" max="10248" width="26.7109375" style="15" bestFit="1" customWidth="1"/>
    <col min="10249" max="10249" width="21.140625" style="15" bestFit="1" customWidth="1"/>
    <col min="10250" max="10250" width="68.85546875" style="15" bestFit="1" customWidth="1"/>
    <col min="10251" max="10251" width="5" style="15" customWidth="1"/>
    <col min="10252" max="10252" width="20.85546875" style="15" bestFit="1" customWidth="1"/>
    <col min="10253" max="10496" width="9.140625" style="15"/>
    <col min="10497" max="10497" width="15.140625" style="15" bestFit="1" customWidth="1"/>
    <col min="10498" max="10498" width="18.7109375" style="15" bestFit="1" customWidth="1"/>
    <col min="10499" max="10499" width="16.5703125" style="15" bestFit="1" customWidth="1"/>
    <col min="10500" max="10500" width="20.85546875" style="15" bestFit="1" customWidth="1"/>
    <col min="10501" max="10501" width="18.28515625" style="15" bestFit="1" customWidth="1"/>
    <col min="10502" max="10502" width="14.7109375" style="15" bestFit="1" customWidth="1"/>
    <col min="10503" max="10503" width="15.85546875" style="15" bestFit="1" customWidth="1"/>
    <col min="10504" max="10504" width="26.7109375" style="15" bestFit="1" customWidth="1"/>
    <col min="10505" max="10505" width="21.140625" style="15" bestFit="1" customWidth="1"/>
    <col min="10506" max="10506" width="68.85546875" style="15" bestFit="1" customWidth="1"/>
    <col min="10507" max="10507" width="5" style="15" customWidth="1"/>
    <col min="10508" max="10508" width="20.85546875" style="15" bestFit="1" customWidth="1"/>
    <col min="10509" max="10752" width="9.140625" style="15"/>
    <col min="10753" max="10753" width="15.140625" style="15" bestFit="1" customWidth="1"/>
    <col min="10754" max="10754" width="18.7109375" style="15" bestFit="1" customWidth="1"/>
    <col min="10755" max="10755" width="16.5703125" style="15" bestFit="1" customWidth="1"/>
    <col min="10756" max="10756" width="20.85546875" style="15" bestFit="1" customWidth="1"/>
    <col min="10757" max="10757" width="18.28515625" style="15" bestFit="1" customWidth="1"/>
    <col min="10758" max="10758" width="14.7109375" style="15" bestFit="1" customWidth="1"/>
    <col min="10759" max="10759" width="15.85546875" style="15" bestFit="1" customWidth="1"/>
    <col min="10760" max="10760" width="26.7109375" style="15" bestFit="1" customWidth="1"/>
    <col min="10761" max="10761" width="21.140625" style="15" bestFit="1" customWidth="1"/>
    <col min="10762" max="10762" width="68.85546875" style="15" bestFit="1" customWidth="1"/>
    <col min="10763" max="10763" width="5" style="15" customWidth="1"/>
    <col min="10764" max="10764" width="20.85546875" style="15" bestFit="1" customWidth="1"/>
    <col min="10765" max="11008" width="9.140625" style="15"/>
    <col min="11009" max="11009" width="15.140625" style="15" bestFit="1" customWidth="1"/>
    <col min="11010" max="11010" width="18.7109375" style="15" bestFit="1" customWidth="1"/>
    <col min="11011" max="11011" width="16.5703125" style="15" bestFit="1" customWidth="1"/>
    <col min="11012" max="11012" width="20.85546875" style="15" bestFit="1" customWidth="1"/>
    <col min="11013" max="11013" width="18.28515625" style="15" bestFit="1" customWidth="1"/>
    <col min="11014" max="11014" width="14.7109375" style="15" bestFit="1" customWidth="1"/>
    <col min="11015" max="11015" width="15.85546875" style="15" bestFit="1" customWidth="1"/>
    <col min="11016" max="11016" width="26.7109375" style="15" bestFit="1" customWidth="1"/>
    <col min="11017" max="11017" width="21.140625" style="15" bestFit="1" customWidth="1"/>
    <col min="11018" max="11018" width="68.85546875" style="15" bestFit="1" customWidth="1"/>
    <col min="11019" max="11019" width="5" style="15" customWidth="1"/>
    <col min="11020" max="11020" width="20.85546875" style="15" bestFit="1" customWidth="1"/>
    <col min="11021" max="11264" width="9.140625" style="15"/>
    <col min="11265" max="11265" width="15.140625" style="15" bestFit="1" customWidth="1"/>
    <col min="11266" max="11266" width="18.7109375" style="15" bestFit="1" customWidth="1"/>
    <col min="11267" max="11267" width="16.5703125" style="15" bestFit="1" customWidth="1"/>
    <col min="11268" max="11268" width="20.85546875" style="15" bestFit="1" customWidth="1"/>
    <col min="11269" max="11269" width="18.28515625" style="15" bestFit="1" customWidth="1"/>
    <col min="11270" max="11270" width="14.7109375" style="15" bestFit="1" customWidth="1"/>
    <col min="11271" max="11271" width="15.85546875" style="15" bestFit="1" customWidth="1"/>
    <col min="11272" max="11272" width="26.7109375" style="15" bestFit="1" customWidth="1"/>
    <col min="11273" max="11273" width="21.140625" style="15" bestFit="1" customWidth="1"/>
    <col min="11274" max="11274" width="68.85546875" style="15" bestFit="1" customWidth="1"/>
    <col min="11275" max="11275" width="5" style="15" customWidth="1"/>
    <col min="11276" max="11276" width="20.85546875" style="15" bestFit="1" customWidth="1"/>
    <col min="11277" max="11520" width="9.140625" style="15"/>
    <col min="11521" max="11521" width="15.140625" style="15" bestFit="1" customWidth="1"/>
    <col min="11522" max="11522" width="18.7109375" style="15" bestFit="1" customWidth="1"/>
    <col min="11523" max="11523" width="16.5703125" style="15" bestFit="1" customWidth="1"/>
    <col min="11524" max="11524" width="20.85546875" style="15" bestFit="1" customWidth="1"/>
    <col min="11525" max="11525" width="18.28515625" style="15" bestFit="1" customWidth="1"/>
    <col min="11526" max="11526" width="14.7109375" style="15" bestFit="1" customWidth="1"/>
    <col min="11527" max="11527" width="15.85546875" style="15" bestFit="1" customWidth="1"/>
    <col min="11528" max="11528" width="26.7109375" style="15" bestFit="1" customWidth="1"/>
    <col min="11529" max="11529" width="21.140625" style="15" bestFit="1" customWidth="1"/>
    <col min="11530" max="11530" width="68.85546875" style="15" bestFit="1" customWidth="1"/>
    <col min="11531" max="11531" width="5" style="15" customWidth="1"/>
    <col min="11532" max="11532" width="20.85546875" style="15" bestFit="1" customWidth="1"/>
    <col min="11533" max="11776" width="9.140625" style="15"/>
    <col min="11777" max="11777" width="15.140625" style="15" bestFit="1" customWidth="1"/>
    <col min="11778" max="11778" width="18.7109375" style="15" bestFit="1" customWidth="1"/>
    <col min="11779" max="11779" width="16.5703125" style="15" bestFit="1" customWidth="1"/>
    <col min="11780" max="11780" width="20.85546875" style="15" bestFit="1" customWidth="1"/>
    <col min="11781" max="11781" width="18.28515625" style="15" bestFit="1" customWidth="1"/>
    <col min="11782" max="11782" width="14.7109375" style="15" bestFit="1" customWidth="1"/>
    <col min="11783" max="11783" width="15.85546875" style="15" bestFit="1" customWidth="1"/>
    <col min="11784" max="11784" width="26.7109375" style="15" bestFit="1" customWidth="1"/>
    <col min="11785" max="11785" width="21.140625" style="15" bestFit="1" customWidth="1"/>
    <col min="11786" max="11786" width="68.85546875" style="15" bestFit="1" customWidth="1"/>
    <col min="11787" max="11787" width="5" style="15" customWidth="1"/>
    <col min="11788" max="11788" width="20.85546875" style="15" bestFit="1" customWidth="1"/>
    <col min="11789" max="12032" width="9.140625" style="15"/>
    <col min="12033" max="12033" width="15.140625" style="15" bestFit="1" customWidth="1"/>
    <col min="12034" max="12034" width="18.7109375" style="15" bestFit="1" customWidth="1"/>
    <col min="12035" max="12035" width="16.5703125" style="15" bestFit="1" customWidth="1"/>
    <col min="12036" max="12036" width="20.85546875" style="15" bestFit="1" customWidth="1"/>
    <col min="12037" max="12037" width="18.28515625" style="15" bestFit="1" customWidth="1"/>
    <col min="12038" max="12038" width="14.7109375" style="15" bestFit="1" customWidth="1"/>
    <col min="12039" max="12039" width="15.85546875" style="15" bestFit="1" customWidth="1"/>
    <col min="12040" max="12040" width="26.7109375" style="15" bestFit="1" customWidth="1"/>
    <col min="12041" max="12041" width="21.140625" style="15" bestFit="1" customWidth="1"/>
    <col min="12042" max="12042" width="68.85546875" style="15" bestFit="1" customWidth="1"/>
    <col min="12043" max="12043" width="5" style="15" customWidth="1"/>
    <col min="12044" max="12044" width="20.85546875" style="15" bestFit="1" customWidth="1"/>
    <col min="12045" max="12288" width="9.140625" style="15"/>
    <col min="12289" max="12289" width="15.140625" style="15" bestFit="1" customWidth="1"/>
    <col min="12290" max="12290" width="18.7109375" style="15" bestFit="1" customWidth="1"/>
    <col min="12291" max="12291" width="16.5703125" style="15" bestFit="1" customWidth="1"/>
    <col min="12292" max="12292" width="20.85546875" style="15" bestFit="1" customWidth="1"/>
    <col min="12293" max="12293" width="18.28515625" style="15" bestFit="1" customWidth="1"/>
    <col min="12294" max="12294" width="14.7109375" style="15" bestFit="1" customWidth="1"/>
    <col min="12295" max="12295" width="15.85546875" style="15" bestFit="1" customWidth="1"/>
    <col min="12296" max="12296" width="26.7109375" style="15" bestFit="1" customWidth="1"/>
    <col min="12297" max="12297" width="21.140625" style="15" bestFit="1" customWidth="1"/>
    <col min="12298" max="12298" width="68.85546875" style="15" bestFit="1" customWidth="1"/>
    <col min="12299" max="12299" width="5" style="15" customWidth="1"/>
    <col min="12300" max="12300" width="20.85546875" style="15" bestFit="1" customWidth="1"/>
    <col min="12301" max="12544" width="9.140625" style="15"/>
    <col min="12545" max="12545" width="15.140625" style="15" bestFit="1" customWidth="1"/>
    <col min="12546" max="12546" width="18.7109375" style="15" bestFit="1" customWidth="1"/>
    <col min="12547" max="12547" width="16.5703125" style="15" bestFit="1" customWidth="1"/>
    <col min="12548" max="12548" width="20.85546875" style="15" bestFit="1" customWidth="1"/>
    <col min="12549" max="12549" width="18.28515625" style="15" bestFit="1" customWidth="1"/>
    <col min="12550" max="12550" width="14.7109375" style="15" bestFit="1" customWidth="1"/>
    <col min="12551" max="12551" width="15.85546875" style="15" bestFit="1" customWidth="1"/>
    <col min="12552" max="12552" width="26.7109375" style="15" bestFit="1" customWidth="1"/>
    <col min="12553" max="12553" width="21.140625" style="15" bestFit="1" customWidth="1"/>
    <col min="12554" max="12554" width="68.85546875" style="15" bestFit="1" customWidth="1"/>
    <col min="12555" max="12555" width="5" style="15" customWidth="1"/>
    <col min="12556" max="12556" width="20.85546875" style="15" bestFit="1" customWidth="1"/>
    <col min="12557" max="12800" width="9.140625" style="15"/>
    <col min="12801" max="12801" width="15.140625" style="15" bestFit="1" customWidth="1"/>
    <col min="12802" max="12802" width="18.7109375" style="15" bestFit="1" customWidth="1"/>
    <col min="12803" max="12803" width="16.5703125" style="15" bestFit="1" customWidth="1"/>
    <col min="12804" max="12804" width="20.85546875" style="15" bestFit="1" customWidth="1"/>
    <col min="12805" max="12805" width="18.28515625" style="15" bestFit="1" customWidth="1"/>
    <col min="12806" max="12806" width="14.7109375" style="15" bestFit="1" customWidth="1"/>
    <col min="12807" max="12807" width="15.85546875" style="15" bestFit="1" customWidth="1"/>
    <col min="12808" max="12808" width="26.7109375" style="15" bestFit="1" customWidth="1"/>
    <col min="12809" max="12809" width="21.140625" style="15" bestFit="1" customWidth="1"/>
    <col min="12810" max="12810" width="68.85546875" style="15" bestFit="1" customWidth="1"/>
    <col min="12811" max="12811" width="5" style="15" customWidth="1"/>
    <col min="12812" max="12812" width="20.85546875" style="15" bestFit="1" customWidth="1"/>
    <col min="12813" max="13056" width="9.140625" style="15"/>
    <col min="13057" max="13057" width="15.140625" style="15" bestFit="1" customWidth="1"/>
    <col min="13058" max="13058" width="18.7109375" style="15" bestFit="1" customWidth="1"/>
    <col min="13059" max="13059" width="16.5703125" style="15" bestFit="1" customWidth="1"/>
    <col min="13060" max="13060" width="20.85546875" style="15" bestFit="1" customWidth="1"/>
    <col min="13061" max="13061" width="18.28515625" style="15" bestFit="1" customWidth="1"/>
    <col min="13062" max="13062" width="14.7109375" style="15" bestFit="1" customWidth="1"/>
    <col min="13063" max="13063" width="15.85546875" style="15" bestFit="1" customWidth="1"/>
    <col min="13064" max="13064" width="26.7109375" style="15" bestFit="1" customWidth="1"/>
    <col min="13065" max="13065" width="21.140625" style="15" bestFit="1" customWidth="1"/>
    <col min="13066" max="13066" width="68.85546875" style="15" bestFit="1" customWidth="1"/>
    <col min="13067" max="13067" width="5" style="15" customWidth="1"/>
    <col min="13068" max="13068" width="20.85546875" style="15" bestFit="1" customWidth="1"/>
    <col min="13069" max="13312" width="9.140625" style="15"/>
    <col min="13313" max="13313" width="15.140625" style="15" bestFit="1" customWidth="1"/>
    <col min="13314" max="13314" width="18.7109375" style="15" bestFit="1" customWidth="1"/>
    <col min="13315" max="13315" width="16.5703125" style="15" bestFit="1" customWidth="1"/>
    <col min="13316" max="13316" width="20.85546875" style="15" bestFit="1" customWidth="1"/>
    <col min="13317" max="13317" width="18.28515625" style="15" bestFit="1" customWidth="1"/>
    <col min="13318" max="13318" width="14.7109375" style="15" bestFit="1" customWidth="1"/>
    <col min="13319" max="13319" width="15.85546875" style="15" bestFit="1" customWidth="1"/>
    <col min="13320" max="13320" width="26.7109375" style="15" bestFit="1" customWidth="1"/>
    <col min="13321" max="13321" width="21.140625" style="15" bestFit="1" customWidth="1"/>
    <col min="13322" max="13322" width="68.85546875" style="15" bestFit="1" customWidth="1"/>
    <col min="13323" max="13323" width="5" style="15" customWidth="1"/>
    <col min="13324" max="13324" width="20.85546875" style="15" bestFit="1" customWidth="1"/>
    <col min="13325" max="13568" width="9.140625" style="15"/>
    <col min="13569" max="13569" width="15.140625" style="15" bestFit="1" customWidth="1"/>
    <col min="13570" max="13570" width="18.7109375" style="15" bestFit="1" customWidth="1"/>
    <col min="13571" max="13571" width="16.5703125" style="15" bestFit="1" customWidth="1"/>
    <col min="13572" max="13572" width="20.85546875" style="15" bestFit="1" customWidth="1"/>
    <col min="13573" max="13573" width="18.28515625" style="15" bestFit="1" customWidth="1"/>
    <col min="13574" max="13574" width="14.7109375" style="15" bestFit="1" customWidth="1"/>
    <col min="13575" max="13575" width="15.85546875" style="15" bestFit="1" customWidth="1"/>
    <col min="13576" max="13576" width="26.7109375" style="15" bestFit="1" customWidth="1"/>
    <col min="13577" max="13577" width="21.140625" style="15" bestFit="1" customWidth="1"/>
    <col min="13578" max="13578" width="68.85546875" style="15" bestFit="1" customWidth="1"/>
    <col min="13579" max="13579" width="5" style="15" customWidth="1"/>
    <col min="13580" max="13580" width="20.85546875" style="15" bestFit="1" customWidth="1"/>
    <col min="13581" max="13824" width="9.140625" style="15"/>
    <col min="13825" max="13825" width="15.140625" style="15" bestFit="1" customWidth="1"/>
    <col min="13826" max="13826" width="18.7109375" style="15" bestFit="1" customWidth="1"/>
    <col min="13827" max="13827" width="16.5703125" style="15" bestFit="1" customWidth="1"/>
    <col min="13828" max="13828" width="20.85546875" style="15" bestFit="1" customWidth="1"/>
    <col min="13829" max="13829" width="18.28515625" style="15" bestFit="1" customWidth="1"/>
    <col min="13830" max="13830" width="14.7109375" style="15" bestFit="1" customWidth="1"/>
    <col min="13831" max="13831" width="15.85546875" style="15" bestFit="1" customWidth="1"/>
    <col min="13832" max="13832" width="26.7109375" style="15" bestFit="1" customWidth="1"/>
    <col min="13833" max="13833" width="21.140625" style="15" bestFit="1" customWidth="1"/>
    <col min="13834" max="13834" width="68.85546875" style="15" bestFit="1" customWidth="1"/>
    <col min="13835" max="13835" width="5" style="15" customWidth="1"/>
    <col min="13836" max="13836" width="20.85546875" style="15" bestFit="1" customWidth="1"/>
    <col min="13837" max="14080" width="9.140625" style="15"/>
    <col min="14081" max="14081" width="15.140625" style="15" bestFit="1" customWidth="1"/>
    <col min="14082" max="14082" width="18.7109375" style="15" bestFit="1" customWidth="1"/>
    <col min="14083" max="14083" width="16.5703125" style="15" bestFit="1" customWidth="1"/>
    <col min="14084" max="14084" width="20.85546875" style="15" bestFit="1" customWidth="1"/>
    <col min="14085" max="14085" width="18.28515625" style="15" bestFit="1" customWidth="1"/>
    <col min="14086" max="14086" width="14.7109375" style="15" bestFit="1" customWidth="1"/>
    <col min="14087" max="14087" width="15.85546875" style="15" bestFit="1" customWidth="1"/>
    <col min="14088" max="14088" width="26.7109375" style="15" bestFit="1" customWidth="1"/>
    <col min="14089" max="14089" width="21.140625" style="15" bestFit="1" customWidth="1"/>
    <col min="14090" max="14090" width="68.85546875" style="15" bestFit="1" customWidth="1"/>
    <col min="14091" max="14091" width="5" style="15" customWidth="1"/>
    <col min="14092" max="14092" width="20.85546875" style="15" bestFit="1" customWidth="1"/>
    <col min="14093" max="14336" width="9.140625" style="15"/>
    <col min="14337" max="14337" width="15.140625" style="15" bestFit="1" customWidth="1"/>
    <col min="14338" max="14338" width="18.7109375" style="15" bestFit="1" customWidth="1"/>
    <col min="14339" max="14339" width="16.5703125" style="15" bestFit="1" customWidth="1"/>
    <col min="14340" max="14340" width="20.85546875" style="15" bestFit="1" customWidth="1"/>
    <col min="14341" max="14341" width="18.28515625" style="15" bestFit="1" customWidth="1"/>
    <col min="14342" max="14342" width="14.7109375" style="15" bestFit="1" customWidth="1"/>
    <col min="14343" max="14343" width="15.85546875" style="15" bestFit="1" customWidth="1"/>
    <col min="14344" max="14344" width="26.7109375" style="15" bestFit="1" customWidth="1"/>
    <col min="14345" max="14345" width="21.140625" style="15" bestFit="1" customWidth="1"/>
    <col min="14346" max="14346" width="68.85546875" style="15" bestFit="1" customWidth="1"/>
    <col min="14347" max="14347" width="5" style="15" customWidth="1"/>
    <col min="14348" max="14348" width="20.85546875" style="15" bestFit="1" customWidth="1"/>
    <col min="14349" max="14592" width="9.140625" style="15"/>
    <col min="14593" max="14593" width="15.140625" style="15" bestFit="1" customWidth="1"/>
    <col min="14594" max="14594" width="18.7109375" style="15" bestFit="1" customWidth="1"/>
    <col min="14595" max="14595" width="16.5703125" style="15" bestFit="1" customWidth="1"/>
    <col min="14596" max="14596" width="20.85546875" style="15" bestFit="1" customWidth="1"/>
    <col min="14597" max="14597" width="18.28515625" style="15" bestFit="1" customWidth="1"/>
    <col min="14598" max="14598" width="14.7109375" style="15" bestFit="1" customWidth="1"/>
    <col min="14599" max="14599" width="15.85546875" style="15" bestFit="1" customWidth="1"/>
    <col min="14600" max="14600" width="26.7109375" style="15" bestFit="1" customWidth="1"/>
    <col min="14601" max="14601" width="21.140625" style="15" bestFit="1" customWidth="1"/>
    <col min="14602" max="14602" width="68.85546875" style="15" bestFit="1" customWidth="1"/>
    <col min="14603" max="14603" width="5" style="15" customWidth="1"/>
    <col min="14604" max="14604" width="20.85546875" style="15" bestFit="1" customWidth="1"/>
    <col min="14605" max="14848" width="9.140625" style="15"/>
    <col min="14849" max="14849" width="15.140625" style="15" bestFit="1" customWidth="1"/>
    <col min="14850" max="14850" width="18.7109375" style="15" bestFit="1" customWidth="1"/>
    <col min="14851" max="14851" width="16.5703125" style="15" bestFit="1" customWidth="1"/>
    <col min="14852" max="14852" width="20.85546875" style="15" bestFit="1" customWidth="1"/>
    <col min="14853" max="14853" width="18.28515625" style="15" bestFit="1" customWidth="1"/>
    <col min="14854" max="14854" width="14.7109375" style="15" bestFit="1" customWidth="1"/>
    <col min="14855" max="14855" width="15.85546875" style="15" bestFit="1" customWidth="1"/>
    <col min="14856" max="14856" width="26.7109375" style="15" bestFit="1" customWidth="1"/>
    <col min="14857" max="14857" width="21.140625" style="15" bestFit="1" customWidth="1"/>
    <col min="14858" max="14858" width="68.85546875" style="15" bestFit="1" customWidth="1"/>
    <col min="14859" max="14859" width="5" style="15" customWidth="1"/>
    <col min="14860" max="14860" width="20.85546875" style="15" bestFit="1" customWidth="1"/>
    <col min="14861" max="15104" width="9.140625" style="15"/>
    <col min="15105" max="15105" width="15.140625" style="15" bestFit="1" customWidth="1"/>
    <col min="15106" max="15106" width="18.7109375" style="15" bestFit="1" customWidth="1"/>
    <col min="15107" max="15107" width="16.5703125" style="15" bestFit="1" customWidth="1"/>
    <col min="15108" max="15108" width="20.85546875" style="15" bestFit="1" customWidth="1"/>
    <col min="15109" max="15109" width="18.28515625" style="15" bestFit="1" customWidth="1"/>
    <col min="15110" max="15110" width="14.7109375" style="15" bestFit="1" customWidth="1"/>
    <col min="15111" max="15111" width="15.85546875" style="15" bestFit="1" customWidth="1"/>
    <col min="15112" max="15112" width="26.7109375" style="15" bestFit="1" customWidth="1"/>
    <col min="15113" max="15113" width="21.140625" style="15" bestFit="1" customWidth="1"/>
    <col min="15114" max="15114" width="68.85546875" style="15" bestFit="1" customWidth="1"/>
    <col min="15115" max="15115" width="5" style="15" customWidth="1"/>
    <col min="15116" max="15116" width="20.85546875" style="15" bestFit="1" customWidth="1"/>
    <col min="15117" max="15360" width="9.140625" style="15"/>
    <col min="15361" max="15361" width="15.140625" style="15" bestFit="1" customWidth="1"/>
    <col min="15362" max="15362" width="18.7109375" style="15" bestFit="1" customWidth="1"/>
    <col min="15363" max="15363" width="16.5703125" style="15" bestFit="1" customWidth="1"/>
    <col min="15364" max="15364" width="20.85546875" style="15" bestFit="1" customWidth="1"/>
    <col min="15365" max="15365" width="18.28515625" style="15" bestFit="1" customWidth="1"/>
    <col min="15366" max="15366" width="14.7109375" style="15" bestFit="1" customWidth="1"/>
    <col min="15367" max="15367" width="15.85546875" style="15" bestFit="1" customWidth="1"/>
    <col min="15368" max="15368" width="26.7109375" style="15" bestFit="1" customWidth="1"/>
    <col min="15369" max="15369" width="21.140625" style="15" bestFit="1" customWidth="1"/>
    <col min="15370" max="15370" width="68.85546875" style="15" bestFit="1" customWidth="1"/>
    <col min="15371" max="15371" width="5" style="15" customWidth="1"/>
    <col min="15372" max="15372" width="20.85546875" style="15" bestFit="1" customWidth="1"/>
    <col min="15373" max="15616" width="9.140625" style="15"/>
    <col min="15617" max="15617" width="15.140625" style="15" bestFit="1" customWidth="1"/>
    <col min="15618" max="15618" width="18.7109375" style="15" bestFit="1" customWidth="1"/>
    <col min="15619" max="15619" width="16.5703125" style="15" bestFit="1" customWidth="1"/>
    <col min="15620" max="15620" width="20.85546875" style="15" bestFit="1" customWidth="1"/>
    <col min="15621" max="15621" width="18.28515625" style="15" bestFit="1" customWidth="1"/>
    <col min="15622" max="15622" width="14.7109375" style="15" bestFit="1" customWidth="1"/>
    <col min="15623" max="15623" width="15.85546875" style="15" bestFit="1" customWidth="1"/>
    <col min="15624" max="15624" width="26.7109375" style="15" bestFit="1" customWidth="1"/>
    <col min="15625" max="15625" width="21.140625" style="15" bestFit="1" customWidth="1"/>
    <col min="15626" max="15626" width="68.85546875" style="15" bestFit="1" customWidth="1"/>
    <col min="15627" max="15627" width="5" style="15" customWidth="1"/>
    <col min="15628" max="15628" width="20.85546875" style="15" bestFit="1" customWidth="1"/>
    <col min="15629" max="15872" width="9.140625" style="15"/>
    <col min="15873" max="15873" width="15.140625" style="15" bestFit="1" customWidth="1"/>
    <col min="15874" max="15874" width="18.7109375" style="15" bestFit="1" customWidth="1"/>
    <col min="15875" max="15875" width="16.5703125" style="15" bestFit="1" customWidth="1"/>
    <col min="15876" max="15876" width="20.85546875" style="15" bestFit="1" customWidth="1"/>
    <col min="15877" max="15877" width="18.28515625" style="15" bestFit="1" customWidth="1"/>
    <col min="15878" max="15878" width="14.7109375" style="15" bestFit="1" customWidth="1"/>
    <col min="15879" max="15879" width="15.85546875" style="15" bestFit="1" customWidth="1"/>
    <col min="15880" max="15880" width="26.7109375" style="15" bestFit="1" customWidth="1"/>
    <col min="15881" max="15881" width="21.140625" style="15" bestFit="1" customWidth="1"/>
    <col min="15882" max="15882" width="68.85546875" style="15" bestFit="1" customWidth="1"/>
    <col min="15883" max="15883" width="5" style="15" customWidth="1"/>
    <col min="15884" max="15884" width="20.85546875" style="15" bestFit="1" customWidth="1"/>
    <col min="15885" max="16128" width="9.140625" style="15"/>
    <col min="16129" max="16129" width="15.140625" style="15" bestFit="1" customWidth="1"/>
    <col min="16130" max="16130" width="18.7109375" style="15" bestFit="1" customWidth="1"/>
    <col min="16131" max="16131" width="16.5703125" style="15" bestFit="1" customWidth="1"/>
    <col min="16132" max="16132" width="20.85546875" style="15" bestFit="1" customWidth="1"/>
    <col min="16133" max="16133" width="18.28515625" style="15" bestFit="1" customWidth="1"/>
    <col min="16134" max="16134" width="14.7109375" style="15" bestFit="1" customWidth="1"/>
    <col min="16135" max="16135" width="15.85546875" style="15" bestFit="1" customWidth="1"/>
    <col min="16136" max="16136" width="26.7109375" style="15" bestFit="1" customWidth="1"/>
    <col min="16137" max="16137" width="21.140625" style="15" bestFit="1" customWidth="1"/>
    <col min="16138" max="16138" width="68.85546875" style="15" bestFit="1" customWidth="1"/>
    <col min="16139" max="16139" width="5" style="15" customWidth="1"/>
    <col min="16140" max="16140" width="20.85546875" style="15" bestFit="1" customWidth="1"/>
    <col min="16141" max="16384" width="9.140625" style="15"/>
  </cols>
  <sheetData>
    <row r="1" spans="1:12" ht="45" x14ac:dyDescent="0.25">
      <c r="A1" s="63" t="s">
        <v>187</v>
      </c>
      <c r="B1" s="63" t="s">
        <v>188</v>
      </c>
      <c r="C1" s="63" t="s">
        <v>189</v>
      </c>
      <c r="D1" s="63" t="s">
        <v>293</v>
      </c>
      <c r="E1" s="63" t="s">
        <v>190</v>
      </c>
      <c r="F1" s="63" t="s">
        <v>191</v>
      </c>
      <c r="G1" s="63" t="s">
        <v>192</v>
      </c>
      <c r="H1" s="64" t="s">
        <v>193</v>
      </c>
      <c r="I1" s="64" t="s">
        <v>194</v>
      </c>
      <c r="J1" s="53"/>
      <c r="K1" s="53"/>
      <c r="L1" s="52"/>
    </row>
    <row r="2" spans="1:12" ht="15" x14ac:dyDescent="0.25">
      <c r="A2" s="67" t="s">
        <v>195</v>
      </c>
      <c r="B2" s="65"/>
      <c r="C2" s="65" t="s">
        <v>1414</v>
      </c>
      <c r="D2" s="65"/>
      <c r="E2" s="65"/>
      <c r="F2" s="65"/>
      <c r="G2" s="65"/>
      <c r="H2" s="66" t="s">
        <v>1415</v>
      </c>
      <c r="I2" s="66">
        <v>0</v>
      </c>
      <c r="J2" s="53"/>
      <c r="K2" s="53"/>
      <c r="L2" s="57" t="s">
        <v>293</v>
      </c>
    </row>
    <row r="3" spans="1:12" ht="15" x14ac:dyDescent="0.25">
      <c r="A3" s="67" t="s">
        <v>195</v>
      </c>
      <c r="B3" s="67"/>
      <c r="C3" s="67">
        <v>0</v>
      </c>
      <c r="D3" s="67"/>
      <c r="E3" s="67"/>
      <c r="F3" s="67"/>
      <c r="G3" s="67"/>
      <c r="H3" s="67" t="s">
        <v>196</v>
      </c>
      <c r="I3" s="68">
        <v>0</v>
      </c>
      <c r="J3" s="53"/>
      <c r="K3" s="82" t="s">
        <v>295</v>
      </c>
      <c r="L3" s="59" t="s">
        <v>312</v>
      </c>
    </row>
    <row r="4" spans="1:12" ht="15" x14ac:dyDescent="0.25">
      <c r="A4" s="67" t="s">
        <v>195</v>
      </c>
      <c r="B4" s="67"/>
      <c r="C4" s="67">
        <v>1</v>
      </c>
      <c r="D4" s="67"/>
      <c r="E4" s="67"/>
      <c r="F4" s="67"/>
      <c r="G4" s="67"/>
      <c r="H4" s="67" t="s">
        <v>197</v>
      </c>
      <c r="I4" s="68">
        <v>0</v>
      </c>
      <c r="J4" s="53"/>
      <c r="K4" s="83" t="s">
        <v>302</v>
      </c>
      <c r="L4" s="59" t="s">
        <v>313</v>
      </c>
    </row>
    <row r="5" spans="1:12" ht="15" x14ac:dyDescent="0.25">
      <c r="A5" s="67" t="s">
        <v>195</v>
      </c>
      <c r="B5" s="67"/>
      <c r="C5" s="67">
        <v>2</v>
      </c>
      <c r="D5" s="67"/>
      <c r="E5" s="67"/>
      <c r="F5" s="67"/>
      <c r="G5" s="69" t="s">
        <v>198</v>
      </c>
      <c r="H5" s="67" t="s">
        <v>200</v>
      </c>
      <c r="I5" s="68">
        <v>2.5000000000000001E-3</v>
      </c>
      <c r="J5" s="53"/>
      <c r="K5" s="84" t="s">
        <v>307</v>
      </c>
      <c r="L5" s="59" t="s">
        <v>314</v>
      </c>
    </row>
    <row r="6" spans="1:12" ht="15" x14ac:dyDescent="0.25">
      <c r="A6" s="67" t="s">
        <v>195</v>
      </c>
      <c r="B6" s="67"/>
      <c r="C6" s="67">
        <v>2</v>
      </c>
      <c r="D6" s="67"/>
      <c r="E6" s="67"/>
      <c r="F6" s="67"/>
      <c r="G6" s="70" t="s">
        <v>201</v>
      </c>
      <c r="H6" s="67" t="s">
        <v>203</v>
      </c>
      <c r="I6" s="68">
        <v>0.01</v>
      </c>
      <c r="J6" s="53"/>
      <c r="K6" s="53"/>
      <c r="L6" s="53"/>
    </row>
    <row r="7" spans="1:12" ht="15" x14ac:dyDescent="0.25">
      <c r="A7" s="67" t="s">
        <v>195</v>
      </c>
      <c r="B7" s="67"/>
      <c r="C7" s="67">
        <v>2</v>
      </c>
      <c r="D7" s="67"/>
      <c r="E7" s="67"/>
      <c r="F7" s="67"/>
      <c r="G7" s="71" t="s">
        <v>204</v>
      </c>
      <c r="H7" s="67" t="s">
        <v>206</v>
      </c>
      <c r="I7" s="68">
        <v>1.6E-2</v>
      </c>
      <c r="J7" s="53"/>
      <c r="K7" s="53"/>
      <c r="L7" s="57" t="s">
        <v>190</v>
      </c>
    </row>
    <row r="8" spans="1:12" ht="15" x14ac:dyDescent="0.25">
      <c r="A8" s="67" t="s">
        <v>195</v>
      </c>
      <c r="B8" s="67"/>
      <c r="C8" s="67">
        <v>3</v>
      </c>
      <c r="D8" s="67"/>
      <c r="E8" s="67"/>
      <c r="F8" s="67"/>
      <c r="G8" s="69" t="s">
        <v>198</v>
      </c>
      <c r="H8" s="67" t="s">
        <v>207</v>
      </c>
      <c r="I8" s="68">
        <v>2.5000000000000001E-3</v>
      </c>
      <c r="J8" s="53"/>
      <c r="K8" s="85" t="s">
        <v>225</v>
      </c>
      <c r="L8" s="59" t="s">
        <v>226</v>
      </c>
    </row>
    <row r="9" spans="1:12" ht="15" x14ac:dyDescent="0.25">
      <c r="A9" s="67" t="s">
        <v>195</v>
      </c>
      <c r="B9" s="67"/>
      <c r="C9" s="67">
        <v>3</v>
      </c>
      <c r="D9" s="67"/>
      <c r="E9" s="67"/>
      <c r="F9" s="67"/>
      <c r="G9" s="70" t="s">
        <v>201</v>
      </c>
      <c r="H9" s="67" t="s">
        <v>208</v>
      </c>
      <c r="I9" s="68">
        <v>0.01</v>
      </c>
      <c r="J9" s="53"/>
      <c r="K9" s="86" t="s">
        <v>228</v>
      </c>
      <c r="L9" s="59" t="s">
        <v>229</v>
      </c>
    </row>
    <row r="10" spans="1:12" ht="15" x14ac:dyDescent="0.25">
      <c r="A10" s="67" t="s">
        <v>195</v>
      </c>
      <c r="B10" s="67"/>
      <c r="C10" s="67">
        <v>3</v>
      </c>
      <c r="D10" s="67"/>
      <c r="E10" s="67"/>
      <c r="F10" s="67"/>
      <c r="G10" s="71" t="s">
        <v>204</v>
      </c>
      <c r="H10" s="67" t="s">
        <v>210</v>
      </c>
      <c r="I10" s="68">
        <v>1.6E-2</v>
      </c>
      <c r="J10" s="53"/>
      <c r="K10" s="53"/>
      <c r="L10" s="53"/>
    </row>
    <row r="11" spans="1:12" ht="15" x14ac:dyDescent="0.25">
      <c r="A11" s="67" t="s">
        <v>195</v>
      </c>
      <c r="B11" s="67"/>
      <c r="C11" s="67">
        <v>4</v>
      </c>
      <c r="D11" s="67"/>
      <c r="E11" s="67"/>
      <c r="F11" s="67"/>
      <c r="G11" s="67"/>
      <c r="H11" s="67" t="s">
        <v>212</v>
      </c>
      <c r="I11" s="68">
        <v>0.08</v>
      </c>
      <c r="J11" s="53"/>
      <c r="K11" s="53"/>
      <c r="L11" s="57" t="s">
        <v>191</v>
      </c>
    </row>
    <row r="12" spans="1:12" ht="15" x14ac:dyDescent="0.25">
      <c r="A12" s="67" t="s">
        <v>195</v>
      </c>
      <c r="B12" s="67"/>
      <c r="C12" s="67">
        <v>5</v>
      </c>
      <c r="D12" s="67"/>
      <c r="E12" s="67"/>
      <c r="F12" s="67"/>
      <c r="G12" s="67"/>
      <c r="H12" s="67" t="s">
        <v>213</v>
      </c>
      <c r="I12" s="68">
        <v>0.08</v>
      </c>
      <c r="J12" s="53"/>
      <c r="K12" s="87" t="s">
        <v>209</v>
      </c>
      <c r="L12" s="59" t="s">
        <v>289</v>
      </c>
    </row>
    <row r="13" spans="1:12" ht="15" x14ac:dyDescent="0.25">
      <c r="A13" s="67" t="s">
        <v>195</v>
      </c>
      <c r="B13" s="67"/>
      <c r="C13" s="67">
        <v>6</v>
      </c>
      <c r="D13" s="67"/>
      <c r="E13" s="67"/>
      <c r="F13" s="67"/>
      <c r="G13" s="67"/>
      <c r="H13" s="67" t="s">
        <v>214</v>
      </c>
      <c r="I13" s="68">
        <v>0.08</v>
      </c>
      <c r="J13" s="53"/>
      <c r="K13" s="88" t="s">
        <v>211</v>
      </c>
      <c r="L13" s="59" t="s">
        <v>288</v>
      </c>
    </row>
    <row r="14" spans="1:12" ht="15" x14ac:dyDescent="0.25">
      <c r="A14" s="67" t="s">
        <v>195</v>
      </c>
      <c r="B14" s="67"/>
      <c r="C14" s="67">
        <v>7</v>
      </c>
      <c r="D14" s="67"/>
      <c r="E14" s="67"/>
      <c r="F14" s="67"/>
      <c r="G14" s="67"/>
      <c r="H14" s="67" t="s">
        <v>215</v>
      </c>
      <c r="I14" s="68">
        <v>0.12</v>
      </c>
      <c r="J14" s="53"/>
      <c r="K14" s="53"/>
      <c r="L14" s="53"/>
    </row>
    <row r="15" spans="1:12" ht="15" x14ac:dyDescent="0.25">
      <c r="A15" s="67" t="s">
        <v>195</v>
      </c>
      <c r="B15" s="67"/>
      <c r="C15" s="67" t="s">
        <v>216</v>
      </c>
      <c r="D15" s="67"/>
      <c r="E15" s="67"/>
      <c r="F15" s="67"/>
      <c r="G15" s="67"/>
      <c r="H15" s="67" t="s">
        <v>217</v>
      </c>
      <c r="I15" s="68">
        <v>0.12</v>
      </c>
      <c r="J15" s="53"/>
      <c r="K15" s="53"/>
      <c r="L15" s="57" t="s">
        <v>192</v>
      </c>
    </row>
    <row r="16" spans="1:12" ht="15" x14ac:dyDescent="0.25">
      <c r="A16" s="67" t="s">
        <v>195</v>
      </c>
      <c r="B16" s="67"/>
      <c r="C16" s="67" t="s">
        <v>218</v>
      </c>
      <c r="D16" s="67"/>
      <c r="E16" s="67"/>
      <c r="F16" s="67"/>
      <c r="G16" s="67"/>
      <c r="H16" s="67" t="s">
        <v>219</v>
      </c>
      <c r="I16" s="68">
        <v>0.08</v>
      </c>
      <c r="J16" s="53"/>
      <c r="K16" s="58" t="s">
        <v>198</v>
      </c>
      <c r="L16" s="59" t="s">
        <v>199</v>
      </c>
    </row>
    <row r="17" spans="1:12" ht="15" x14ac:dyDescent="0.25">
      <c r="A17" s="67" t="s">
        <v>220</v>
      </c>
      <c r="B17" s="67"/>
      <c r="C17" s="67"/>
      <c r="D17" s="67"/>
      <c r="E17" s="67"/>
      <c r="F17" s="67"/>
      <c r="G17" s="67"/>
      <c r="H17" s="67" t="s">
        <v>221</v>
      </c>
      <c r="I17" s="68">
        <v>0</v>
      </c>
      <c r="J17" s="53"/>
      <c r="K17" s="60" t="s">
        <v>201</v>
      </c>
      <c r="L17" s="59" t="s">
        <v>202</v>
      </c>
    </row>
    <row r="18" spans="1:12" ht="15" x14ac:dyDescent="0.25">
      <c r="A18" s="67" t="s">
        <v>222</v>
      </c>
      <c r="B18" s="67"/>
      <c r="C18" s="67"/>
      <c r="D18" s="67"/>
      <c r="E18" s="67"/>
      <c r="F18" s="67"/>
      <c r="G18" s="67"/>
      <c r="H18" s="67" t="s">
        <v>223</v>
      </c>
      <c r="I18" s="68">
        <v>1.6E-2</v>
      </c>
      <c r="J18" s="53"/>
      <c r="K18" s="61" t="s">
        <v>204</v>
      </c>
      <c r="L18" s="59" t="s">
        <v>205</v>
      </c>
    </row>
    <row r="19" spans="1:12" ht="15" x14ac:dyDescent="0.25">
      <c r="A19" s="67" t="s">
        <v>290</v>
      </c>
      <c r="B19" s="67" t="s">
        <v>291</v>
      </c>
      <c r="C19" s="65" t="s">
        <v>1414</v>
      </c>
      <c r="D19" s="65"/>
      <c r="E19" s="67"/>
      <c r="F19" s="67"/>
      <c r="G19" s="69" t="s">
        <v>198</v>
      </c>
      <c r="H19" s="67" t="s">
        <v>1416</v>
      </c>
      <c r="I19" s="68">
        <v>2.5000000000000001E-3</v>
      </c>
      <c r="J19" s="53"/>
      <c r="K19" s="53"/>
      <c r="L19" s="53"/>
    </row>
    <row r="20" spans="1:12" ht="15" x14ac:dyDescent="0.25">
      <c r="A20" s="67" t="s">
        <v>290</v>
      </c>
      <c r="B20" s="67" t="s">
        <v>291</v>
      </c>
      <c r="C20" s="65" t="s">
        <v>1414</v>
      </c>
      <c r="D20" s="65"/>
      <c r="E20" s="67"/>
      <c r="F20" s="67"/>
      <c r="G20" s="70" t="s">
        <v>201</v>
      </c>
      <c r="H20" s="67" t="s">
        <v>1417</v>
      </c>
      <c r="I20" s="68">
        <v>0.01</v>
      </c>
      <c r="J20" s="53"/>
      <c r="K20" s="53"/>
      <c r="L20" s="53"/>
    </row>
    <row r="21" spans="1:12" ht="15" x14ac:dyDescent="0.25">
      <c r="A21" s="67" t="s">
        <v>290</v>
      </c>
      <c r="B21" s="67" t="s">
        <v>291</v>
      </c>
      <c r="C21" s="65" t="s">
        <v>1414</v>
      </c>
      <c r="D21" s="65"/>
      <c r="E21" s="67"/>
      <c r="F21" s="67"/>
      <c r="G21" s="71" t="s">
        <v>204</v>
      </c>
      <c r="H21" s="67" t="s">
        <v>1418</v>
      </c>
      <c r="I21" s="68">
        <v>1.6E-2</v>
      </c>
      <c r="J21" s="53"/>
      <c r="K21" s="53"/>
      <c r="L21" s="53"/>
    </row>
    <row r="22" spans="1:12" ht="15" x14ac:dyDescent="0.25">
      <c r="A22" s="67" t="s">
        <v>290</v>
      </c>
      <c r="B22" s="67" t="s">
        <v>291</v>
      </c>
      <c r="C22" s="67">
        <v>0</v>
      </c>
      <c r="D22" s="67"/>
      <c r="E22" s="67"/>
      <c r="F22" s="67"/>
      <c r="G22" s="69" t="s">
        <v>198</v>
      </c>
      <c r="H22" s="67" t="s">
        <v>224</v>
      </c>
      <c r="I22" s="68">
        <v>2.5000000000000001E-3</v>
      </c>
      <c r="J22" s="50"/>
      <c r="K22" s="53"/>
      <c r="L22" s="53"/>
    </row>
    <row r="23" spans="1:12" ht="15" x14ac:dyDescent="0.25">
      <c r="A23" s="67" t="s">
        <v>290</v>
      </c>
      <c r="B23" s="67" t="s">
        <v>291</v>
      </c>
      <c r="C23" s="67">
        <v>0</v>
      </c>
      <c r="D23" s="67"/>
      <c r="E23" s="67"/>
      <c r="F23" s="67"/>
      <c r="G23" s="70" t="s">
        <v>201</v>
      </c>
      <c r="H23" s="67" t="s">
        <v>227</v>
      </c>
      <c r="I23" s="68">
        <v>0.01</v>
      </c>
      <c r="J23" s="50"/>
      <c r="K23" s="53"/>
      <c r="L23" s="53"/>
    </row>
    <row r="24" spans="1:12" ht="15" x14ac:dyDescent="0.25">
      <c r="A24" s="67" t="s">
        <v>290</v>
      </c>
      <c r="B24" s="67" t="s">
        <v>291</v>
      </c>
      <c r="C24" s="67">
        <v>0</v>
      </c>
      <c r="D24" s="67"/>
      <c r="E24" s="67"/>
      <c r="F24" s="67"/>
      <c r="G24" s="71" t="s">
        <v>204</v>
      </c>
      <c r="H24" s="67" t="s">
        <v>230</v>
      </c>
      <c r="I24" s="68">
        <v>1.6E-2</v>
      </c>
      <c r="J24" s="50"/>
      <c r="K24" s="53"/>
      <c r="L24" s="53"/>
    </row>
    <row r="25" spans="1:12" ht="15" x14ac:dyDescent="0.25">
      <c r="A25" s="67" t="s">
        <v>290</v>
      </c>
      <c r="B25" s="67" t="s">
        <v>291</v>
      </c>
      <c r="C25" s="67">
        <v>1</v>
      </c>
      <c r="D25" s="67"/>
      <c r="E25" s="67"/>
      <c r="F25" s="67"/>
      <c r="G25" s="69" t="s">
        <v>198</v>
      </c>
      <c r="H25" s="67" t="s">
        <v>231</v>
      </c>
      <c r="I25" s="68">
        <v>2.5000000000000001E-3</v>
      </c>
      <c r="J25" s="50"/>
      <c r="K25" s="53"/>
      <c r="L25" s="53"/>
    </row>
    <row r="26" spans="1:12" ht="15" x14ac:dyDescent="0.25">
      <c r="A26" s="67" t="s">
        <v>290</v>
      </c>
      <c r="B26" s="67" t="s">
        <v>291</v>
      </c>
      <c r="C26" s="67">
        <v>1</v>
      </c>
      <c r="D26" s="67"/>
      <c r="E26" s="67"/>
      <c r="F26" s="67"/>
      <c r="G26" s="70" t="s">
        <v>201</v>
      </c>
      <c r="H26" s="67" t="s">
        <v>232</v>
      </c>
      <c r="I26" s="68">
        <v>0.01</v>
      </c>
      <c r="J26" s="50"/>
      <c r="K26" s="53"/>
      <c r="L26" s="53"/>
    </row>
    <row r="27" spans="1:12" ht="15" x14ac:dyDescent="0.25">
      <c r="A27" s="67" t="s">
        <v>290</v>
      </c>
      <c r="B27" s="67" t="s">
        <v>291</v>
      </c>
      <c r="C27" s="67">
        <v>1</v>
      </c>
      <c r="D27" s="67"/>
      <c r="E27" s="67"/>
      <c r="F27" s="67"/>
      <c r="G27" s="71" t="s">
        <v>204</v>
      </c>
      <c r="H27" s="67" t="s">
        <v>233</v>
      </c>
      <c r="I27" s="68">
        <v>1.6E-2</v>
      </c>
      <c r="J27" s="50"/>
      <c r="K27" s="53"/>
      <c r="L27" s="53"/>
    </row>
    <row r="28" spans="1:12" ht="15" x14ac:dyDescent="0.25">
      <c r="A28" s="67" t="s">
        <v>290</v>
      </c>
      <c r="B28" s="67" t="s">
        <v>291</v>
      </c>
      <c r="C28" s="67">
        <v>2</v>
      </c>
      <c r="D28" s="67"/>
      <c r="E28" s="67"/>
      <c r="F28" s="67"/>
      <c r="G28" s="69" t="s">
        <v>198</v>
      </c>
      <c r="H28" s="67" t="s">
        <v>234</v>
      </c>
      <c r="I28" s="68">
        <v>2.5000000000000001E-3</v>
      </c>
      <c r="J28" s="50"/>
      <c r="K28" s="53"/>
      <c r="L28" s="53"/>
    </row>
    <row r="29" spans="1:12" ht="15" x14ac:dyDescent="0.25">
      <c r="A29" s="67" t="s">
        <v>290</v>
      </c>
      <c r="B29" s="67" t="s">
        <v>291</v>
      </c>
      <c r="C29" s="67">
        <v>2</v>
      </c>
      <c r="D29" s="67"/>
      <c r="E29" s="67"/>
      <c r="F29" s="67"/>
      <c r="G29" s="70" t="s">
        <v>201</v>
      </c>
      <c r="H29" s="67" t="s">
        <v>235</v>
      </c>
      <c r="I29" s="68">
        <v>0.01</v>
      </c>
      <c r="J29" s="50"/>
      <c r="K29" s="53"/>
      <c r="L29" s="53"/>
    </row>
    <row r="30" spans="1:12" ht="15" x14ac:dyDescent="0.25">
      <c r="A30" s="67" t="s">
        <v>290</v>
      </c>
      <c r="B30" s="67" t="s">
        <v>291</v>
      </c>
      <c r="C30" s="67">
        <v>2</v>
      </c>
      <c r="D30" s="67"/>
      <c r="E30" s="67"/>
      <c r="F30" s="67"/>
      <c r="G30" s="71" t="s">
        <v>204</v>
      </c>
      <c r="H30" s="67" t="s">
        <v>236</v>
      </c>
      <c r="I30" s="68">
        <v>1.6E-2</v>
      </c>
      <c r="J30" s="50"/>
      <c r="K30" s="53"/>
      <c r="L30" s="53"/>
    </row>
    <row r="31" spans="1:12" ht="15" x14ac:dyDescent="0.25">
      <c r="A31" s="67" t="s">
        <v>290</v>
      </c>
      <c r="B31" s="67" t="s">
        <v>291</v>
      </c>
      <c r="C31" s="67">
        <v>3</v>
      </c>
      <c r="D31" s="67"/>
      <c r="E31" s="67"/>
      <c r="F31" s="67"/>
      <c r="G31" s="67"/>
      <c r="H31" s="67" t="s">
        <v>237</v>
      </c>
      <c r="I31" s="68">
        <v>0.08</v>
      </c>
      <c r="J31" s="50"/>
      <c r="K31" s="53"/>
      <c r="L31" s="53"/>
    </row>
    <row r="32" spans="1:12" ht="15" x14ac:dyDescent="0.25">
      <c r="A32" s="67" t="s">
        <v>290</v>
      </c>
      <c r="B32" s="67" t="s">
        <v>291</v>
      </c>
      <c r="C32" s="67">
        <v>4</v>
      </c>
      <c r="D32" s="67"/>
      <c r="E32" s="67"/>
      <c r="F32" s="67"/>
      <c r="G32" s="67"/>
      <c r="H32" s="67" t="s">
        <v>238</v>
      </c>
      <c r="I32" s="68">
        <v>0.12</v>
      </c>
      <c r="J32" s="50"/>
      <c r="K32" s="53"/>
      <c r="L32" s="53"/>
    </row>
    <row r="33" spans="1:10" x14ac:dyDescent="0.2">
      <c r="A33" s="67" t="s">
        <v>290</v>
      </c>
      <c r="B33" s="67" t="s">
        <v>291</v>
      </c>
      <c r="C33" s="67">
        <v>5</v>
      </c>
      <c r="D33" s="67"/>
      <c r="E33" s="67"/>
      <c r="F33" s="67"/>
      <c r="G33" s="67"/>
      <c r="H33" s="67" t="s">
        <v>239</v>
      </c>
      <c r="I33" s="68">
        <v>0.12</v>
      </c>
      <c r="J33" s="54"/>
    </row>
    <row r="34" spans="1:10" x14ac:dyDescent="0.2">
      <c r="A34" s="67" t="s">
        <v>290</v>
      </c>
      <c r="B34" s="67" t="s">
        <v>291</v>
      </c>
      <c r="C34" s="67">
        <v>6</v>
      </c>
      <c r="D34" s="67"/>
      <c r="E34" s="67"/>
      <c r="F34" s="67"/>
      <c r="G34" s="67"/>
      <c r="H34" s="67" t="s">
        <v>240</v>
      </c>
      <c r="I34" s="68">
        <v>0.12</v>
      </c>
      <c r="J34" s="54"/>
    </row>
    <row r="35" spans="1:10" x14ac:dyDescent="0.2">
      <c r="A35" s="67" t="s">
        <v>290</v>
      </c>
      <c r="B35" s="67" t="s">
        <v>291</v>
      </c>
      <c r="C35" s="67">
        <v>7</v>
      </c>
      <c r="D35" s="67"/>
      <c r="E35" s="67"/>
      <c r="F35" s="67"/>
      <c r="G35" s="67"/>
      <c r="H35" s="67" t="s">
        <v>241</v>
      </c>
      <c r="I35" s="68">
        <v>0.12</v>
      </c>
      <c r="J35" s="54"/>
    </row>
    <row r="36" spans="1:10" x14ac:dyDescent="0.2">
      <c r="A36" s="67" t="s">
        <v>290</v>
      </c>
      <c r="B36" s="67" t="s">
        <v>291</v>
      </c>
      <c r="C36" s="67" t="s">
        <v>218</v>
      </c>
      <c r="D36" s="67"/>
      <c r="E36" s="67"/>
      <c r="F36" s="67"/>
      <c r="G36" s="67"/>
      <c r="H36" s="67" t="s">
        <v>242</v>
      </c>
      <c r="I36" s="68">
        <v>0.08</v>
      </c>
      <c r="J36" s="54"/>
    </row>
    <row r="37" spans="1:10" x14ac:dyDescent="0.2">
      <c r="A37" s="67" t="s">
        <v>290</v>
      </c>
      <c r="B37" s="67" t="s">
        <v>291</v>
      </c>
      <c r="C37" s="67" t="s">
        <v>216</v>
      </c>
      <c r="D37" s="67"/>
      <c r="E37" s="67"/>
      <c r="F37" s="67"/>
      <c r="G37" s="67"/>
      <c r="H37" s="67" t="s">
        <v>243</v>
      </c>
      <c r="I37" s="68">
        <v>0.12</v>
      </c>
      <c r="J37" s="54"/>
    </row>
    <row r="38" spans="1:10" x14ac:dyDescent="0.2">
      <c r="A38" s="67" t="s">
        <v>290</v>
      </c>
      <c r="B38" s="67" t="s">
        <v>292</v>
      </c>
      <c r="C38" s="67"/>
      <c r="D38" s="67"/>
      <c r="E38" s="67"/>
      <c r="F38" s="67"/>
      <c r="G38" s="67"/>
      <c r="H38" s="67" t="s">
        <v>244</v>
      </c>
      <c r="I38" s="68">
        <v>0.08</v>
      </c>
      <c r="J38" s="54" t="s">
        <v>315</v>
      </c>
    </row>
    <row r="39" spans="1:10" x14ac:dyDescent="0.2">
      <c r="A39" s="67" t="s">
        <v>245</v>
      </c>
      <c r="B39" s="67" t="s">
        <v>246</v>
      </c>
      <c r="C39" s="65" t="s">
        <v>1414</v>
      </c>
      <c r="D39" s="65"/>
      <c r="E39" s="67"/>
      <c r="F39" s="67"/>
      <c r="G39" s="69" t="s">
        <v>198</v>
      </c>
      <c r="H39" s="67" t="s">
        <v>1419</v>
      </c>
      <c r="I39" s="68">
        <v>2.5000000000000001E-3</v>
      </c>
      <c r="J39" s="54"/>
    </row>
    <row r="40" spans="1:10" x14ac:dyDescent="0.2">
      <c r="A40" s="67" t="s">
        <v>245</v>
      </c>
      <c r="B40" s="67" t="s">
        <v>246</v>
      </c>
      <c r="C40" s="65" t="s">
        <v>1414</v>
      </c>
      <c r="D40" s="65"/>
      <c r="E40" s="67"/>
      <c r="F40" s="67"/>
      <c r="G40" s="70" t="s">
        <v>201</v>
      </c>
      <c r="H40" s="67" t="s">
        <v>1420</v>
      </c>
      <c r="I40" s="68">
        <v>0.01</v>
      </c>
      <c r="J40" s="54"/>
    </row>
    <row r="41" spans="1:10" x14ac:dyDescent="0.2">
      <c r="A41" s="67" t="s">
        <v>245</v>
      </c>
      <c r="B41" s="67" t="s">
        <v>246</v>
      </c>
      <c r="C41" s="65" t="s">
        <v>1414</v>
      </c>
      <c r="D41" s="65"/>
      <c r="E41" s="67"/>
      <c r="F41" s="67"/>
      <c r="G41" s="71" t="s">
        <v>204</v>
      </c>
      <c r="H41" s="67" t="s">
        <v>1421</v>
      </c>
      <c r="I41" s="68">
        <v>1.6E-2</v>
      </c>
      <c r="J41" s="54"/>
    </row>
    <row r="42" spans="1:10" x14ac:dyDescent="0.2">
      <c r="A42" s="67" t="s">
        <v>245</v>
      </c>
      <c r="B42" s="67" t="s">
        <v>246</v>
      </c>
      <c r="C42" s="67">
        <v>0</v>
      </c>
      <c r="D42" s="67"/>
      <c r="E42" s="67"/>
      <c r="F42" s="67"/>
      <c r="G42" s="69" t="s">
        <v>198</v>
      </c>
      <c r="H42" s="67" t="s">
        <v>247</v>
      </c>
      <c r="I42" s="68">
        <v>2.5000000000000001E-3</v>
      </c>
      <c r="J42" s="54"/>
    </row>
    <row r="43" spans="1:10" x14ac:dyDescent="0.2">
      <c r="A43" s="67" t="s">
        <v>245</v>
      </c>
      <c r="B43" s="67" t="s">
        <v>246</v>
      </c>
      <c r="C43" s="67">
        <v>0</v>
      </c>
      <c r="D43" s="67"/>
      <c r="E43" s="67"/>
      <c r="F43" s="67"/>
      <c r="G43" s="70" t="s">
        <v>201</v>
      </c>
      <c r="H43" s="67" t="s">
        <v>248</v>
      </c>
      <c r="I43" s="68">
        <v>0.01</v>
      </c>
      <c r="J43" s="54"/>
    </row>
    <row r="44" spans="1:10" x14ac:dyDescent="0.2">
      <c r="A44" s="67" t="s">
        <v>245</v>
      </c>
      <c r="B44" s="67" t="s">
        <v>246</v>
      </c>
      <c r="C44" s="67">
        <v>0</v>
      </c>
      <c r="D44" s="67"/>
      <c r="E44" s="67"/>
      <c r="F44" s="67"/>
      <c r="G44" s="71" t="s">
        <v>204</v>
      </c>
      <c r="H44" s="67" t="s">
        <v>249</v>
      </c>
      <c r="I44" s="68">
        <v>1.6E-2</v>
      </c>
      <c r="J44" s="54"/>
    </row>
    <row r="45" spans="1:10" x14ac:dyDescent="0.2">
      <c r="A45" s="67" t="s">
        <v>245</v>
      </c>
      <c r="B45" s="67" t="s">
        <v>246</v>
      </c>
      <c r="C45" s="67">
        <v>1</v>
      </c>
      <c r="D45" s="67"/>
      <c r="E45" s="67"/>
      <c r="F45" s="67"/>
      <c r="G45" s="69" t="s">
        <v>198</v>
      </c>
      <c r="H45" s="67" t="s">
        <v>250</v>
      </c>
      <c r="I45" s="68">
        <v>2.5000000000000001E-3</v>
      </c>
      <c r="J45" s="54"/>
    </row>
    <row r="46" spans="1:10" x14ac:dyDescent="0.2">
      <c r="A46" s="67" t="s">
        <v>245</v>
      </c>
      <c r="B46" s="67" t="s">
        <v>246</v>
      </c>
      <c r="C46" s="67">
        <v>1</v>
      </c>
      <c r="D46" s="67"/>
      <c r="E46" s="67"/>
      <c r="F46" s="67"/>
      <c r="G46" s="70" t="s">
        <v>201</v>
      </c>
      <c r="H46" s="67" t="s">
        <v>251</v>
      </c>
      <c r="I46" s="68">
        <v>0.01</v>
      </c>
      <c r="J46" s="54"/>
    </row>
    <row r="47" spans="1:10" x14ac:dyDescent="0.2">
      <c r="A47" s="67" t="s">
        <v>245</v>
      </c>
      <c r="B47" s="67" t="s">
        <v>246</v>
      </c>
      <c r="C47" s="67">
        <v>1</v>
      </c>
      <c r="D47" s="67"/>
      <c r="E47" s="67"/>
      <c r="F47" s="67"/>
      <c r="G47" s="71" t="s">
        <v>204</v>
      </c>
      <c r="H47" s="67" t="s">
        <v>252</v>
      </c>
      <c r="I47" s="68">
        <v>1.6E-2</v>
      </c>
      <c r="J47" s="54"/>
    </row>
    <row r="48" spans="1:10" x14ac:dyDescent="0.2">
      <c r="A48" s="67" t="s">
        <v>245</v>
      </c>
      <c r="B48" s="67" t="s">
        <v>246</v>
      </c>
      <c r="C48" s="67">
        <v>2</v>
      </c>
      <c r="D48" s="67"/>
      <c r="E48" s="67"/>
      <c r="F48" s="67"/>
      <c r="G48" s="69" t="s">
        <v>198</v>
      </c>
      <c r="H48" s="67" t="s">
        <v>253</v>
      </c>
      <c r="I48" s="68">
        <v>2.5000000000000001E-3</v>
      </c>
      <c r="J48" s="54"/>
    </row>
    <row r="49" spans="1:10" x14ac:dyDescent="0.2">
      <c r="A49" s="67" t="s">
        <v>245</v>
      </c>
      <c r="B49" s="67" t="s">
        <v>246</v>
      </c>
      <c r="C49" s="67">
        <v>2</v>
      </c>
      <c r="D49" s="67"/>
      <c r="E49" s="67"/>
      <c r="F49" s="67"/>
      <c r="G49" s="70" t="s">
        <v>201</v>
      </c>
      <c r="H49" s="67" t="s">
        <v>254</v>
      </c>
      <c r="I49" s="68">
        <v>0.01</v>
      </c>
      <c r="J49" s="54"/>
    </row>
    <row r="50" spans="1:10" x14ac:dyDescent="0.2">
      <c r="A50" s="67" t="s">
        <v>245</v>
      </c>
      <c r="B50" s="67" t="s">
        <v>246</v>
      </c>
      <c r="C50" s="67">
        <v>2</v>
      </c>
      <c r="D50" s="67"/>
      <c r="E50" s="67"/>
      <c r="F50" s="67"/>
      <c r="G50" s="71" t="s">
        <v>204</v>
      </c>
      <c r="H50" s="67" t="s">
        <v>255</v>
      </c>
      <c r="I50" s="68">
        <v>1.6E-2</v>
      </c>
      <c r="J50" s="54"/>
    </row>
    <row r="51" spans="1:10" x14ac:dyDescent="0.2">
      <c r="A51" s="67" t="s">
        <v>245</v>
      </c>
      <c r="B51" s="67" t="s">
        <v>246</v>
      </c>
      <c r="C51" s="67">
        <v>3</v>
      </c>
      <c r="D51" s="67"/>
      <c r="E51" s="67"/>
      <c r="F51" s="67"/>
      <c r="G51" s="67"/>
      <c r="H51" s="67" t="s">
        <v>256</v>
      </c>
      <c r="I51" s="68">
        <v>0.08</v>
      </c>
      <c r="J51" s="54"/>
    </row>
    <row r="52" spans="1:10" x14ac:dyDescent="0.2">
      <c r="A52" s="67" t="s">
        <v>245</v>
      </c>
      <c r="B52" s="67" t="s">
        <v>246</v>
      </c>
      <c r="C52" s="67">
        <v>4</v>
      </c>
      <c r="D52" s="67"/>
      <c r="E52" s="67"/>
      <c r="F52" s="67"/>
      <c r="G52" s="67"/>
      <c r="H52" s="67" t="s">
        <v>257</v>
      </c>
      <c r="I52" s="68">
        <v>0.12</v>
      </c>
      <c r="J52" s="54"/>
    </row>
    <row r="53" spans="1:10" x14ac:dyDescent="0.2">
      <c r="A53" s="67" t="s">
        <v>245</v>
      </c>
      <c r="B53" s="67" t="s">
        <v>246</v>
      </c>
      <c r="C53" s="67">
        <v>5</v>
      </c>
      <c r="D53" s="67"/>
      <c r="E53" s="67"/>
      <c r="F53" s="67"/>
      <c r="G53" s="67"/>
      <c r="H53" s="67" t="s">
        <v>258</v>
      </c>
      <c r="I53" s="68">
        <v>0.12</v>
      </c>
      <c r="J53" s="54"/>
    </row>
    <row r="54" spans="1:10" x14ac:dyDescent="0.2">
      <c r="A54" s="67" t="s">
        <v>245</v>
      </c>
      <c r="B54" s="67" t="s">
        <v>246</v>
      </c>
      <c r="C54" s="67">
        <v>6</v>
      </c>
      <c r="D54" s="67"/>
      <c r="E54" s="67"/>
      <c r="F54" s="67"/>
      <c r="G54" s="67"/>
      <c r="H54" s="67" t="s">
        <v>259</v>
      </c>
      <c r="I54" s="68">
        <v>0.12</v>
      </c>
      <c r="J54" s="54"/>
    </row>
    <row r="55" spans="1:10" x14ac:dyDescent="0.2">
      <c r="A55" s="67" t="s">
        <v>245</v>
      </c>
      <c r="B55" s="67" t="s">
        <v>246</v>
      </c>
      <c r="C55" s="67">
        <v>7</v>
      </c>
      <c r="D55" s="67"/>
      <c r="E55" s="67"/>
      <c r="F55" s="67"/>
      <c r="G55" s="67"/>
      <c r="H55" s="67" t="s">
        <v>260</v>
      </c>
      <c r="I55" s="68">
        <v>0.12</v>
      </c>
      <c r="J55" s="54"/>
    </row>
    <row r="56" spans="1:10" x14ac:dyDescent="0.2">
      <c r="A56" s="67" t="s">
        <v>245</v>
      </c>
      <c r="B56" s="67" t="s">
        <v>246</v>
      </c>
      <c r="C56" s="67" t="s">
        <v>218</v>
      </c>
      <c r="D56" s="67"/>
      <c r="E56" s="67"/>
      <c r="F56" s="67"/>
      <c r="G56" s="67"/>
      <c r="H56" s="67" t="s">
        <v>261</v>
      </c>
      <c r="I56" s="68">
        <v>0.08</v>
      </c>
      <c r="J56" s="54"/>
    </row>
    <row r="57" spans="1:10" x14ac:dyDescent="0.2">
      <c r="A57" s="67" t="s">
        <v>245</v>
      </c>
      <c r="B57" s="67" t="s">
        <v>246</v>
      </c>
      <c r="C57" s="67" t="s">
        <v>216</v>
      </c>
      <c r="D57" s="67"/>
      <c r="E57" s="67"/>
      <c r="F57" s="67"/>
      <c r="G57" s="67"/>
      <c r="H57" s="67" t="s">
        <v>262</v>
      </c>
      <c r="I57" s="68">
        <v>0.12</v>
      </c>
      <c r="J57" s="54"/>
    </row>
    <row r="58" spans="1:10" x14ac:dyDescent="0.2">
      <c r="A58" s="67" t="s">
        <v>245</v>
      </c>
      <c r="B58" s="67" t="s">
        <v>263</v>
      </c>
      <c r="C58" s="65" t="s">
        <v>1414</v>
      </c>
      <c r="D58" s="65"/>
      <c r="E58" s="67"/>
      <c r="F58" s="67"/>
      <c r="G58" s="69" t="s">
        <v>198</v>
      </c>
      <c r="H58" s="67" t="s">
        <v>1422</v>
      </c>
      <c r="I58" s="68">
        <v>2.5000000000000001E-3</v>
      </c>
      <c r="J58" s="54"/>
    </row>
    <row r="59" spans="1:10" x14ac:dyDescent="0.2">
      <c r="A59" s="67" t="s">
        <v>245</v>
      </c>
      <c r="B59" s="67" t="s">
        <v>263</v>
      </c>
      <c r="C59" s="65" t="s">
        <v>1414</v>
      </c>
      <c r="D59" s="65"/>
      <c r="E59" s="67"/>
      <c r="F59" s="67"/>
      <c r="G59" s="70" t="s">
        <v>201</v>
      </c>
      <c r="H59" s="67" t="s">
        <v>1423</v>
      </c>
      <c r="I59" s="68">
        <v>0.01</v>
      </c>
      <c r="J59" s="54"/>
    </row>
    <row r="60" spans="1:10" x14ac:dyDescent="0.2">
      <c r="A60" s="67" t="s">
        <v>245</v>
      </c>
      <c r="B60" s="67" t="s">
        <v>263</v>
      </c>
      <c r="C60" s="65" t="s">
        <v>1414</v>
      </c>
      <c r="D60" s="65"/>
      <c r="E60" s="67"/>
      <c r="F60" s="67"/>
      <c r="G60" s="71" t="s">
        <v>204</v>
      </c>
      <c r="H60" s="67" t="s">
        <v>1424</v>
      </c>
      <c r="I60" s="68">
        <v>1.6E-2</v>
      </c>
      <c r="J60" s="54"/>
    </row>
    <row r="61" spans="1:10" x14ac:dyDescent="0.2">
      <c r="A61" s="67" t="s">
        <v>245</v>
      </c>
      <c r="B61" s="67" t="s">
        <v>263</v>
      </c>
      <c r="C61" s="67">
        <v>0</v>
      </c>
      <c r="D61" s="67"/>
      <c r="E61" s="67"/>
      <c r="F61" s="67"/>
      <c r="G61" s="69" t="s">
        <v>198</v>
      </c>
      <c r="H61" s="67" t="s">
        <v>264</v>
      </c>
      <c r="I61" s="68">
        <v>2.5000000000000001E-3</v>
      </c>
      <c r="J61" s="54"/>
    </row>
    <row r="62" spans="1:10" x14ac:dyDescent="0.2">
      <c r="A62" s="67" t="s">
        <v>245</v>
      </c>
      <c r="B62" s="67" t="s">
        <v>263</v>
      </c>
      <c r="C62" s="67">
        <v>0</v>
      </c>
      <c r="D62" s="67"/>
      <c r="E62" s="67"/>
      <c r="F62" s="67"/>
      <c r="G62" s="70" t="s">
        <v>201</v>
      </c>
      <c r="H62" s="67" t="s">
        <v>265</v>
      </c>
      <c r="I62" s="68">
        <v>0.01</v>
      </c>
      <c r="J62" s="54"/>
    </row>
    <row r="63" spans="1:10" x14ac:dyDescent="0.2">
      <c r="A63" s="67" t="s">
        <v>245</v>
      </c>
      <c r="B63" s="67" t="s">
        <v>263</v>
      </c>
      <c r="C63" s="67">
        <v>0</v>
      </c>
      <c r="D63" s="67"/>
      <c r="E63" s="67"/>
      <c r="F63" s="67"/>
      <c r="G63" s="71" t="s">
        <v>204</v>
      </c>
      <c r="H63" s="67" t="s">
        <v>266</v>
      </c>
      <c r="I63" s="68">
        <v>1.6E-2</v>
      </c>
      <c r="J63" s="54"/>
    </row>
    <row r="64" spans="1:10" x14ac:dyDescent="0.2">
      <c r="A64" s="67" t="s">
        <v>245</v>
      </c>
      <c r="B64" s="67" t="s">
        <v>263</v>
      </c>
      <c r="C64" s="67">
        <v>1</v>
      </c>
      <c r="D64" s="67"/>
      <c r="E64" s="67"/>
      <c r="F64" s="67"/>
      <c r="G64" s="69" t="s">
        <v>198</v>
      </c>
      <c r="H64" s="67" t="s">
        <v>267</v>
      </c>
      <c r="I64" s="68">
        <v>2.5000000000000001E-3</v>
      </c>
      <c r="J64" s="54"/>
    </row>
    <row r="65" spans="1:13" x14ac:dyDescent="0.2">
      <c r="A65" s="67" t="s">
        <v>245</v>
      </c>
      <c r="B65" s="67" t="s">
        <v>263</v>
      </c>
      <c r="C65" s="67">
        <v>1</v>
      </c>
      <c r="D65" s="67"/>
      <c r="E65" s="67"/>
      <c r="F65" s="67"/>
      <c r="G65" s="70" t="s">
        <v>201</v>
      </c>
      <c r="H65" s="67" t="s">
        <v>268</v>
      </c>
      <c r="I65" s="68">
        <v>0.01</v>
      </c>
      <c r="J65" s="54"/>
    </row>
    <row r="66" spans="1:13" x14ac:dyDescent="0.2">
      <c r="A66" s="67" t="s">
        <v>245</v>
      </c>
      <c r="B66" s="67" t="s">
        <v>263</v>
      </c>
      <c r="C66" s="67">
        <v>1</v>
      </c>
      <c r="D66" s="67"/>
      <c r="E66" s="67"/>
      <c r="F66" s="67"/>
      <c r="G66" s="71" t="s">
        <v>204</v>
      </c>
      <c r="H66" s="67" t="s">
        <v>269</v>
      </c>
      <c r="I66" s="68">
        <v>1.6E-2</v>
      </c>
      <c r="J66" s="54"/>
    </row>
    <row r="67" spans="1:13" x14ac:dyDescent="0.2">
      <c r="A67" s="67" t="s">
        <v>245</v>
      </c>
      <c r="B67" s="67" t="s">
        <v>263</v>
      </c>
      <c r="C67" s="67">
        <v>2</v>
      </c>
      <c r="D67" s="67"/>
      <c r="E67" s="67"/>
      <c r="F67" s="67"/>
      <c r="G67" s="67"/>
      <c r="H67" s="67" t="s">
        <v>270</v>
      </c>
      <c r="I67" s="68">
        <v>0.08</v>
      </c>
      <c r="J67" s="54"/>
    </row>
    <row r="68" spans="1:13" x14ac:dyDescent="0.2">
      <c r="A68" s="67" t="s">
        <v>245</v>
      </c>
      <c r="B68" s="67" t="s">
        <v>263</v>
      </c>
      <c r="C68" s="67">
        <v>3</v>
      </c>
      <c r="D68" s="67"/>
      <c r="E68" s="67"/>
      <c r="F68" s="67"/>
      <c r="G68" s="67"/>
      <c r="H68" s="67" t="s">
        <v>271</v>
      </c>
      <c r="I68" s="68">
        <v>0.08</v>
      </c>
      <c r="J68" s="54"/>
    </row>
    <row r="69" spans="1:13" x14ac:dyDescent="0.2">
      <c r="A69" s="67" t="s">
        <v>245</v>
      </c>
      <c r="B69" s="67" t="s">
        <v>263</v>
      </c>
      <c r="C69" s="67">
        <v>4</v>
      </c>
      <c r="D69" s="67"/>
      <c r="E69" s="67"/>
      <c r="F69" s="67"/>
      <c r="G69" s="67"/>
      <c r="H69" s="67" t="s">
        <v>272</v>
      </c>
      <c r="I69" s="68">
        <v>0.12</v>
      </c>
      <c r="J69" s="54"/>
    </row>
    <row r="70" spans="1:13" x14ac:dyDescent="0.2">
      <c r="A70" s="67" t="s">
        <v>245</v>
      </c>
      <c r="B70" s="67" t="s">
        <v>263</v>
      </c>
      <c r="C70" s="67">
        <v>5</v>
      </c>
      <c r="D70" s="67"/>
      <c r="E70" s="67"/>
      <c r="F70" s="67"/>
      <c r="G70" s="67"/>
      <c r="H70" s="67" t="s">
        <v>273</v>
      </c>
      <c r="I70" s="68">
        <v>0.12</v>
      </c>
      <c r="J70" s="54"/>
    </row>
    <row r="71" spans="1:13" x14ac:dyDescent="0.2">
      <c r="A71" s="67" t="s">
        <v>245</v>
      </c>
      <c r="B71" s="67" t="s">
        <v>263</v>
      </c>
      <c r="C71" s="67">
        <v>6</v>
      </c>
      <c r="D71" s="67"/>
      <c r="E71" s="67"/>
      <c r="F71" s="67"/>
      <c r="G71" s="67"/>
      <c r="H71" s="67" t="s">
        <v>274</v>
      </c>
      <c r="I71" s="68">
        <v>0.12</v>
      </c>
      <c r="J71" s="54"/>
    </row>
    <row r="72" spans="1:13" x14ac:dyDescent="0.2">
      <c r="A72" s="67" t="s">
        <v>245</v>
      </c>
      <c r="B72" s="67" t="s">
        <v>263</v>
      </c>
      <c r="C72" s="67">
        <v>7</v>
      </c>
      <c r="D72" s="67"/>
      <c r="E72" s="67"/>
      <c r="F72" s="67"/>
      <c r="G72" s="67"/>
      <c r="H72" s="67" t="s">
        <v>275</v>
      </c>
      <c r="I72" s="68">
        <v>0.12</v>
      </c>
      <c r="J72" s="54"/>
    </row>
    <row r="73" spans="1:13" x14ac:dyDescent="0.2">
      <c r="A73" s="67" t="s">
        <v>245</v>
      </c>
      <c r="B73" s="67" t="s">
        <v>263</v>
      </c>
      <c r="C73" s="67" t="s">
        <v>218</v>
      </c>
      <c r="D73" s="67"/>
      <c r="E73" s="67"/>
      <c r="F73" s="67"/>
      <c r="G73" s="67"/>
      <c r="H73" s="67" t="s">
        <v>276</v>
      </c>
      <c r="I73" s="68">
        <v>0.08</v>
      </c>
      <c r="J73" s="54"/>
    </row>
    <row r="74" spans="1:13" x14ac:dyDescent="0.2">
      <c r="A74" s="67" t="s">
        <v>245</v>
      </c>
      <c r="B74" s="67" t="s">
        <v>263</v>
      </c>
      <c r="C74" s="67" t="s">
        <v>216</v>
      </c>
      <c r="D74" s="67"/>
      <c r="E74" s="67"/>
      <c r="F74" s="67"/>
      <c r="G74" s="67"/>
      <c r="H74" s="67" t="s">
        <v>277</v>
      </c>
      <c r="I74" s="68">
        <v>0.12</v>
      </c>
      <c r="J74" s="54"/>
    </row>
    <row r="75" spans="1:13" x14ac:dyDescent="0.2">
      <c r="A75" s="67" t="s">
        <v>278</v>
      </c>
      <c r="B75" s="67" t="s">
        <v>279</v>
      </c>
      <c r="C75" s="67"/>
      <c r="D75" s="72" t="s">
        <v>295</v>
      </c>
      <c r="E75" s="73" t="s">
        <v>225</v>
      </c>
      <c r="F75" s="74" t="s">
        <v>209</v>
      </c>
      <c r="G75" s="69" t="s">
        <v>198</v>
      </c>
      <c r="H75" s="67" t="s">
        <v>296</v>
      </c>
      <c r="I75" s="68">
        <v>5.0000000000000001E-3</v>
      </c>
      <c r="J75" s="54" t="s">
        <v>315</v>
      </c>
    </row>
    <row r="76" spans="1:13" x14ac:dyDescent="0.2">
      <c r="A76" s="67" t="s">
        <v>278</v>
      </c>
      <c r="B76" s="67" t="s">
        <v>279</v>
      </c>
      <c r="C76" s="67"/>
      <c r="D76" s="72" t="s">
        <v>295</v>
      </c>
      <c r="E76" s="73" t="s">
        <v>225</v>
      </c>
      <c r="F76" s="74" t="s">
        <v>209</v>
      </c>
      <c r="G76" s="70" t="s">
        <v>201</v>
      </c>
      <c r="H76" s="67" t="s">
        <v>297</v>
      </c>
      <c r="I76" s="68">
        <v>0.02</v>
      </c>
      <c r="J76" s="54" t="s">
        <v>315</v>
      </c>
    </row>
    <row r="77" spans="1:13" x14ac:dyDescent="0.2">
      <c r="A77" s="67" t="s">
        <v>278</v>
      </c>
      <c r="B77" s="67" t="s">
        <v>279</v>
      </c>
      <c r="C77" s="67"/>
      <c r="D77" s="72" t="s">
        <v>295</v>
      </c>
      <c r="E77" s="73" t="s">
        <v>225</v>
      </c>
      <c r="F77" s="74" t="s">
        <v>209</v>
      </c>
      <c r="G77" s="71" t="s">
        <v>204</v>
      </c>
      <c r="H77" s="67" t="s">
        <v>298</v>
      </c>
      <c r="I77" s="68">
        <v>0.04</v>
      </c>
      <c r="J77" s="54" t="s">
        <v>315</v>
      </c>
    </row>
    <row r="78" spans="1:13" x14ac:dyDescent="0.2">
      <c r="A78" s="67" t="s">
        <v>278</v>
      </c>
      <c r="B78" s="67" t="s">
        <v>279</v>
      </c>
      <c r="C78" s="67"/>
      <c r="D78" s="72" t="s">
        <v>295</v>
      </c>
      <c r="E78" s="73" t="s">
        <v>225</v>
      </c>
      <c r="F78" s="75" t="s">
        <v>211</v>
      </c>
      <c r="G78" s="67"/>
      <c r="H78" s="67" t="s">
        <v>299</v>
      </c>
      <c r="I78" s="68">
        <v>0.12</v>
      </c>
      <c r="J78" s="54"/>
    </row>
    <row r="79" spans="1:13" x14ac:dyDescent="0.2">
      <c r="A79" s="67" t="s">
        <v>278</v>
      </c>
      <c r="B79" s="67" t="s">
        <v>279</v>
      </c>
      <c r="C79" s="67"/>
      <c r="D79" s="72" t="s">
        <v>295</v>
      </c>
      <c r="E79" s="76" t="s">
        <v>228</v>
      </c>
      <c r="F79" s="74" t="s">
        <v>209</v>
      </c>
      <c r="G79" s="67"/>
      <c r="H79" s="67" t="s">
        <v>300</v>
      </c>
      <c r="I79" s="68">
        <v>0.12</v>
      </c>
      <c r="J79" s="54"/>
    </row>
    <row r="80" spans="1:13" x14ac:dyDescent="0.2">
      <c r="A80" s="67" t="s">
        <v>278</v>
      </c>
      <c r="B80" s="67" t="s">
        <v>279</v>
      </c>
      <c r="C80" s="67"/>
      <c r="D80" s="72" t="s">
        <v>295</v>
      </c>
      <c r="E80" s="76" t="s">
        <v>228</v>
      </c>
      <c r="F80" s="75" t="s">
        <v>211</v>
      </c>
      <c r="G80" s="67"/>
      <c r="H80" s="67" t="s">
        <v>301</v>
      </c>
      <c r="I80" s="68">
        <v>0.12</v>
      </c>
      <c r="J80" s="50"/>
      <c r="K80" s="62"/>
      <c r="L80" s="62"/>
      <c r="M80" s="55"/>
    </row>
    <row r="81" spans="1:13" ht="15" x14ac:dyDescent="0.25">
      <c r="A81" s="67" t="s">
        <v>278</v>
      </c>
      <c r="B81" s="67" t="s">
        <v>279</v>
      </c>
      <c r="C81" s="67"/>
      <c r="D81" s="77" t="s">
        <v>302</v>
      </c>
      <c r="E81" s="73" t="s">
        <v>225</v>
      </c>
      <c r="F81" s="74" t="s">
        <v>209</v>
      </c>
      <c r="G81" s="67"/>
      <c r="H81" s="67" t="s">
        <v>303</v>
      </c>
      <c r="I81" s="68">
        <v>0.12</v>
      </c>
      <c r="J81" s="50"/>
      <c r="K81" s="53"/>
      <c r="L81" s="53"/>
      <c r="M81" s="55"/>
    </row>
    <row r="82" spans="1:13" ht="15" x14ac:dyDescent="0.25">
      <c r="A82" s="67" t="s">
        <v>278</v>
      </c>
      <c r="B82" s="67" t="s">
        <v>279</v>
      </c>
      <c r="C82" s="67"/>
      <c r="D82" s="77" t="s">
        <v>302</v>
      </c>
      <c r="E82" s="73" t="s">
        <v>225</v>
      </c>
      <c r="F82" s="75" t="s">
        <v>211</v>
      </c>
      <c r="G82" s="67"/>
      <c r="H82" s="67" t="s">
        <v>304</v>
      </c>
      <c r="I82" s="68">
        <v>0.12</v>
      </c>
      <c r="J82" s="50"/>
      <c r="K82" s="53"/>
      <c r="L82" s="53"/>
      <c r="M82" s="55"/>
    </row>
    <row r="83" spans="1:13" ht="15" x14ac:dyDescent="0.25">
      <c r="A83" s="67" t="s">
        <v>278</v>
      </c>
      <c r="B83" s="67" t="s">
        <v>279</v>
      </c>
      <c r="C83" s="67"/>
      <c r="D83" s="77" t="s">
        <v>302</v>
      </c>
      <c r="E83" s="76" t="s">
        <v>228</v>
      </c>
      <c r="F83" s="74" t="s">
        <v>209</v>
      </c>
      <c r="G83" s="67"/>
      <c r="H83" s="67" t="s">
        <v>305</v>
      </c>
      <c r="I83" s="68">
        <v>0.12</v>
      </c>
      <c r="J83" s="50"/>
      <c r="K83" s="53"/>
      <c r="L83" s="53"/>
      <c r="M83" s="55"/>
    </row>
    <row r="84" spans="1:13" x14ac:dyDescent="0.2">
      <c r="A84" s="67" t="s">
        <v>278</v>
      </c>
      <c r="B84" s="67" t="s">
        <v>279</v>
      </c>
      <c r="C84" s="67"/>
      <c r="D84" s="77" t="s">
        <v>302</v>
      </c>
      <c r="E84" s="76" t="s">
        <v>228</v>
      </c>
      <c r="F84" s="75" t="s">
        <v>211</v>
      </c>
      <c r="G84" s="67"/>
      <c r="H84" s="67" t="s">
        <v>306</v>
      </c>
      <c r="I84" s="68">
        <v>0.12</v>
      </c>
      <c r="J84" s="50"/>
      <c r="K84" s="62"/>
      <c r="L84" s="62"/>
      <c r="M84" s="55"/>
    </row>
    <row r="85" spans="1:13" x14ac:dyDescent="0.2">
      <c r="A85" s="67" t="s">
        <v>278</v>
      </c>
      <c r="B85" s="67" t="s">
        <v>279</v>
      </c>
      <c r="C85" s="67"/>
      <c r="D85" s="78" t="s">
        <v>307</v>
      </c>
      <c r="E85" s="73" t="s">
        <v>225</v>
      </c>
      <c r="F85" s="74" t="s">
        <v>209</v>
      </c>
      <c r="G85" s="67"/>
      <c r="H85" s="67" t="s">
        <v>308</v>
      </c>
      <c r="I85" s="68">
        <v>0.12</v>
      </c>
      <c r="J85" s="50"/>
      <c r="K85" s="62"/>
      <c r="L85" s="62"/>
      <c r="M85" s="55"/>
    </row>
    <row r="86" spans="1:13" x14ac:dyDescent="0.2">
      <c r="A86" s="67" t="s">
        <v>278</v>
      </c>
      <c r="B86" s="67" t="s">
        <v>279</v>
      </c>
      <c r="C86" s="67"/>
      <c r="D86" s="78" t="s">
        <v>307</v>
      </c>
      <c r="E86" s="73" t="s">
        <v>225</v>
      </c>
      <c r="F86" s="75" t="s">
        <v>211</v>
      </c>
      <c r="G86" s="67"/>
      <c r="H86" s="67" t="s">
        <v>309</v>
      </c>
      <c r="I86" s="68">
        <v>0.12</v>
      </c>
      <c r="J86" s="50"/>
      <c r="K86" s="62"/>
      <c r="L86" s="62"/>
      <c r="M86" s="55"/>
    </row>
    <row r="87" spans="1:13" ht="15" x14ac:dyDescent="0.25">
      <c r="A87" s="67" t="s">
        <v>278</v>
      </c>
      <c r="B87" s="67" t="s">
        <v>279</v>
      </c>
      <c r="C87" s="67"/>
      <c r="D87" s="78" t="s">
        <v>307</v>
      </c>
      <c r="E87" s="76" t="s">
        <v>228</v>
      </c>
      <c r="F87" s="74" t="s">
        <v>209</v>
      </c>
      <c r="G87" s="67"/>
      <c r="H87" s="67" t="s">
        <v>310</v>
      </c>
      <c r="I87" s="68">
        <v>0.12</v>
      </c>
      <c r="J87" s="50"/>
      <c r="K87" s="53"/>
      <c r="L87" s="53"/>
      <c r="M87" s="55"/>
    </row>
    <row r="88" spans="1:13" ht="15" x14ac:dyDescent="0.25">
      <c r="A88" s="67" t="s">
        <v>278</v>
      </c>
      <c r="B88" s="67" t="s">
        <v>279</v>
      </c>
      <c r="C88" s="67"/>
      <c r="D88" s="78" t="s">
        <v>307</v>
      </c>
      <c r="E88" s="76" t="s">
        <v>228</v>
      </c>
      <c r="F88" s="75" t="s">
        <v>211</v>
      </c>
      <c r="G88" s="67"/>
      <c r="H88" s="67" t="s">
        <v>311</v>
      </c>
      <c r="I88" s="68">
        <v>0.12</v>
      </c>
      <c r="J88" s="50"/>
      <c r="K88" s="53"/>
      <c r="L88" s="53"/>
      <c r="M88" s="55"/>
    </row>
    <row r="89" spans="1:13" s="16" customFormat="1" x14ac:dyDescent="0.2">
      <c r="A89" s="80" t="s">
        <v>278</v>
      </c>
      <c r="B89" s="80" t="s">
        <v>279</v>
      </c>
      <c r="C89" s="79" t="s">
        <v>280</v>
      </c>
      <c r="D89" s="72" t="s">
        <v>295</v>
      </c>
      <c r="E89" s="79" t="s">
        <v>281</v>
      </c>
      <c r="F89" s="79" t="s">
        <v>281</v>
      </c>
      <c r="G89" s="69" t="s">
        <v>198</v>
      </c>
      <c r="H89" s="80" t="s">
        <v>1150</v>
      </c>
      <c r="I89" s="68">
        <v>0.12</v>
      </c>
      <c r="J89" s="50"/>
      <c r="K89" s="62"/>
      <c r="L89" s="62"/>
      <c r="M89" s="55"/>
    </row>
    <row r="90" spans="1:13" s="16" customFormat="1" x14ac:dyDescent="0.2">
      <c r="A90" s="80" t="s">
        <v>278</v>
      </c>
      <c r="B90" s="80" t="s">
        <v>279</v>
      </c>
      <c r="C90" s="79" t="s">
        <v>280</v>
      </c>
      <c r="D90" s="72" t="s">
        <v>295</v>
      </c>
      <c r="E90" s="79" t="s">
        <v>281</v>
      </c>
      <c r="F90" s="79" t="s">
        <v>281</v>
      </c>
      <c r="G90" s="70" t="s">
        <v>201</v>
      </c>
      <c r="H90" s="80" t="s">
        <v>1151</v>
      </c>
      <c r="I90" s="68">
        <v>0.12</v>
      </c>
      <c r="J90" s="50"/>
      <c r="K90" s="62"/>
      <c r="L90" s="62"/>
      <c r="M90" s="55"/>
    </row>
    <row r="91" spans="1:13" s="16" customFormat="1" x14ac:dyDescent="0.2">
      <c r="A91" s="80" t="s">
        <v>278</v>
      </c>
      <c r="B91" s="80" t="s">
        <v>279</v>
      </c>
      <c r="C91" s="79" t="s">
        <v>280</v>
      </c>
      <c r="D91" s="72" t="s">
        <v>295</v>
      </c>
      <c r="E91" s="79" t="s">
        <v>281</v>
      </c>
      <c r="F91" s="79" t="s">
        <v>281</v>
      </c>
      <c r="G91" s="71" t="s">
        <v>204</v>
      </c>
      <c r="H91" s="80" t="s">
        <v>1152</v>
      </c>
      <c r="I91" s="68">
        <v>0.12</v>
      </c>
      <c r="J91" s="50"/>
      <c r="K91" s="62"/>
      <c r="L91" s="62"/>
      <c r="M91" s="55"/>
    </row>
    <row r="92" spans="1:13" s="16" customFormat="1" x14ac:dyDescent="0.2">
      <c r="A92" s="80" t="s">
        <v>278</v>
      </c>
      <c r="B92" s="80" t="s">
        <v>279</v>
      </c>
      <c r="C92" s="79" t="s">
        <v>280</v>
      </c>
      <c r="D92" s="77" t="s">
        <v>302</v>
      </c>
      <c r="E92" s="79" t="s">
        <v>281</v>
      </c>
      <c r="F92" s="79" t="s">
        <v>281</v>
      </c>
      <c r="G92" s="80"/>
      <c r="H92" s="80" t="s">
        <v>1148</v>
      </c>
      <c r="I92" s="81">
        <v>0.12</v>
      </c>
      <c r="J92" s="54"/>
      <c r="K92" s="56"/>
      <c r="L92" s="56"/>
    </row>
    <row r="93" spans="1:13" s="16" customFormat="1" x14ac:dyDescent="0.2">
      <c r="A93" s="80" t="s">
        <v>278</v>
      </c>
      <c r="B93" s="80" t="s">
        <v>279</v>
      </c>
      <c r="C93" s="79" t="s">
        <v>280</v>
      </c>
      <c r="D93" s="78" t="s">
        <v>307</v>
      </c>
      <c r="E93" s="79" t="s">
        <v>281</v>
      </c>
      <c r="F93" s="79" t="s">
        <v>281</v>
      </c>
      <c r="G93" s="80"/>
      <c r="H93" s="80" t="s">
        <v>1149</v>
      </c>
      <c r="I93" s="81">
        <v>0.12</v>
      </c>
      <c r="J93" s="54"/>
      <c r="K93" s="56"/>
      <c r="L93" s="56"/>
    </row>
    <row r="94" spans="1:13" ht="15" x14ac:dyDescent="0.25">
      <c r="A94" s="67" t="s">
        <v>278</v>
      </c>
      <c r="B94" s="67" t="s">
        <v>282</v>
      </c>
      <c r="C94" s="67"/>
      <c r="D94" s="67"/>
      <c r="E94" s="67"/>
      <c r="F94" s="67"/>
      <c r="G94" s="67"/>
      <c r="H94" s="67" t="s">
        <v>283</v>
      </c>
      <c r="I94" s="68">
        <v>0.08</v>
      </c>
      <c r="J94" s="54" t="s">
        <v>315</v>
      </c>
      <c r="K94" s="52"/>
      <c r="L94" s="52"/>
    </row>
    <row r="95" spans="1:13" ht="15" x14ac:dyDescent="0.25">
      <c r="A95" s="67" t="s">
        <v>284</v>
      </c>
      <c r="B95" s="67"/>
      <c r="C95" s="67"/>
      <c r="D95" s="67"/>
      <c r="E95" s="67"/>
      <c r="F95" s="67"/>
      <c r="G95" s="67"/>
      <c r="H95" s="67" t="s">
        <v>285</v>
      </c>
      <c r="I95" s="68">
        <v>1</v>
      </c>
      <c r="J95" s="50"/>
      <c r="K95" s="53"/>
      <c r="L95" s="53"/>
    </row>
    <row r="96" spans="1:13" ht="15" x14ac:dyDescent="0.25">
      <c r="A96" s="67" t="s">
        <v>286</v>
      </c>
      <c r="B96" s="67"/>
      <c r="C96" s="67"/>
      <c r="D96" s="67"/>
      <c r="E96" s="67"/>
      <c r="F96" s="67"/>
      <c r="G96" s="67"/>
      <c r="H96" s="67" t="s">
        <v>287</v>
      </c>
      <c r="I96" s="68">
        <v>0.08</v>
      </c>
      <c r="J96" s="50"/>
      <c r="K96" s="53"/>
      <c r="L96" s="53"/>
    </row>
    <row r="97" spans="10:12" x14ac:dyDescent="0.2">
      <c r="J97" s="55"/>
      <c r="K97" s="62"/>
      <c r="L97" s="62"/>
    </row>
  </sheetData>
  <conditionalFormatting sqref="A1:I96">
    <cfRule type="cellIs" dxfId="4" priority="6" stopIfTrue="1" operator="equal">
      <formula>""</formula>
    </cfRule>
  </conditionalFormatting>
  <conditionalFormatting sqref="K8:K9">
    <cfRule type="cellIs" dxfId="3" priority="5" stopIfTrue="1" operator="equal">
      <formula>""</formula>
    </cfRule>
  </conditionalFormatting>
  <conditionalFormatting sqref="K12:K13">
    <cfRule type="cellIs" dxfId="2" priority="4" stopIfTrue="1" operator="equal">
      <formula>""</formula>
    </cfRule>
  </conditionalFormatting>
  <conditionalFormatting sqref="K16:K18">
    <cfRule type="cellIs" dxfId="1" priority="3" stopIfTrue="1" operator="equal">
      <formula>""</formula>
    </cfRule>
  </conditionalFormatting>
  <conditionalFormatting sqref="K3:K5">
    <cfRule type="cellIs" dxfId="0" priority="1" stopIfTrue="1" operator="equal">
      <formula>""</formula>
    </cfRule>
  </conditionalFormatting>
  <pageMargins left="0.25" right="0.25" top="0.75" bottom="0.75" header="0.3" footer="0.3"/>
  <pageSetup paperSize="17"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3" tint="0.59999389629810485"/>
    <pageSetUpPr fitToPage="1"/>
  </sheetPr>
  <dimension ref="A1:I250"/>
  <sheetViews>
    <sheetView zoomScaleNormal="100" workbookViewId="0"/>
  </sheetViews>
  <sheetFormatPr defaultRowHeight="12.75" x14ac:dyDescent="0.2"/>
  <cols>
    <col min="1" max="2" width="19" style="105" bestFit="1" customWidth="1"/>
    <col min="3" max="3" width="49.140625" style="105" bestFit="1" customWidth="1"/>
    <col min="4" max="4" width="13.42578125" style="105" bestFit="1" customWidth="1"/>
    <col min="5" max="5" width="22.42578125" style="106" customWidth="1"/>
    <col min="6" max="6" width="11.7109375" style="106" bestFit="1" customWidth="1"/>
    <col min="7" max="7" width="3.5703125" style="105" customWidth="1"/>
    <col min="8" max="8" width="10.5703125" style="105" bestFit="1" customWidth="1"/>
    <col min="9" max="9" width="69" style="105" bestFit="1" customWidth="1"/>
    <col min="10" max="16384" width="9.140625" style="105"/>
  </cols>
  <sheetData>
    <row r="1" spans="1:9" x14ac:dyDescent="0.2">
      <c r="A1" s="97" t="s">
        <v>1199</v>
      </c>
      <c r="B1" s="97" t="s">
        <v>1198</v>
      </c>
      <c r="C1" s="97" t="s">
        <v>889</v>
      </c>
      <c r="D1" s="98" t="s">
        <v>890</v>
      </c>
      <c r="E1" s="98" t="s">
        <v>891</v>
      </c>
      <c r="F1" s="98" t="s">
        <v>892</v>
      </c>
      <c r="H1" s="101" t="s">
        <v>1147</v>
      </c>
      <c r="I1" s="100">
        <v>41845</v>
      </c>
    </row>
    <row r="2" spans="1:9" x14ac:dyDescent="0.2">
      <c r="A2" s="105" t="s">
        <v>419</v>
      </c>
      <c r="B2" s="105" t="s">
        <v>420</v>
      </c>
      <c r="C2" s="105" t="s">
        <v>1113</v>
      </c>
      <c r="D2" s="106" t="s">
        <v>218</v>
      </c>
      <c r="E2" s="106" t="s">
        <v>218</v>
      </c>
      <c r="H2" s="103" t="s">
        <v>887</v>
      </c>
      <c r="I2" s="102" t="s">
        <v>1094</v>
      </c>
    </row>
    <row r="3" spans="1:9" x14ac:dyDescent="0.2">
      <c r="A3" s="105" t="s">
        <v>421</v>
      </c>
      <c r="B3" s="105" t="s">
        <v>422</v>
      </c>
      <c r="C3" s="105" t="s">
        <v>893</v>
      </c>
      <c r="D3" s="106">
        <v>7</v>
      </c>
      <c r="E3" s="106">
        <v>7</v>
      </c>
      <c r="H3" s="104"/>
      <c r="I3" s="109" t="s">
        <v>1425</v>
      </c>
    </row>
    <row r="4" spans="1:9" x14ac:dyDescent="0.2">
      <c r="A4" s="105" t="s">
        <v>423</v>
      </c>
      <c r="B4" s="105" t="s">
        <v>424</v>
      </c>
      <c r="C4" s="105" t="s">
        <v>894</v>
      </c>
      <c r="D4" s="106">
        <v>6</v>
      </c>
      <c r="E4" s="106">
        <v>6</v>
      </c>
      <c r="H4" s="104"/>
      <c r="I4" s="104" t="s">
        <v>888</v>
      </c>
    </row>
    <row r="5" spans="1:9" x14ac:dyDescent="0.2">
      <c r="A5" s="105" t="s">
        <v>425</v>
      </c>
      <c r="B5" s="105" t="s">
        <v>426</v>
      </c>
      <c r="C5" s="105" t="s">
        <v>895</v>
      </c>
      <c r="D5" s="106">
        <v>3</v>
      </c>
      <c r="E5" s="106">
        <v>3</v>
      </c>
    </row>
    <row r="6" spans="1:9" x14ac:dyDescent="0.2">
      <c r="A6" s="105" t="s">
        <v>427</v>
      </c>
      <c r="B6" s="105" t="s">
        <v>428</v>
      </c>
      <c r="C6" s="105" t="s">
        <v>896</v>
      </c>
      <c r="D6" s="106" t="s">
        <v>218</v>
      </c>
      <c r="E6" s="106" t="s">
        <v>218</v>
      </c>
    </row>
    <row r="7" spans="1:9" x14ac:dyDescent="0.2">
      <c r="A7" s="105" t="s">
        <v>429</v>
      </c>
      <c r="B7" s="105" t="s">
        <v>430</v>
      </c>
      <c r="C7" s="105" t="s">
        <v>897</v>
      </c>
      <c r="D7" s="106" t="s">
        <v>218</v>
      </c>
      <c r="E7" s="106" t="s">
        <v>218</v>
      </c>
    </row>
    <row r="8" spans="1:9" x14ac:dyDescent="0.2">
      <c r="A8" s="105" t="s">
        <v>431</v>
      </c>
      <c r="B8" s="105" t="s">
        <v>432</v>
      </c>
      <c r="C8" s="105" t="s">
        <v>898</v>
      </c>
      <c r="D8" s="106">
        <v>5</v>
      </c>
      <c r="E8" s="106">
        <v>5</v>
      </c>
    </row>
    <row r="9" spans="1:9" x14ac:dyDescent="0.2">
      <c r="A9" s="105" t="s">
        <v>433</v>
      </c>
      <c r="B9" s="105" t="s">
        <v>434</v>
      </c>
      <c r="C9" s="105" t="s">
        <v>1114</v>
      </c>
      <c r="D9" s="106" t="s">
        <v>218</v>
      </c>
      <c r="E9" s="106" t="s">
        <v>218</v>
      </c>
    </row>
    <row r="10" spans="1:9" x14ac:dyDescent="0.2">
      <c r="A10" s="105" t="s">
        <v>435</v>
      </c>
      <c r="B10" s="105" t="s">
        <v>436</v>
      </c>
      <c r="C10" s="105" t="s">
        <v>1115</v>
      </c>
      <c r="D10" s="106" t="s">
        <v>218</v>
      </c>
      <c r="E10" s="106" t="s">
        <v>218</v>
      </c>
    </row>
    <row r="11" spans="1:9" x14ac:dyDescent="0.2">
      <c r="A11" s="105" t="s">
        <v>437</v>
      </c>
      <c r="B11" s="105" t="s">
        <v>438</v>
      </c>
      <c r="C11" s="105" t="s">
        <v>899</v>
      </c>
      <c r="D11" s="106">
        <v>6</v>
      </c>
      <c r="E11" s="106">
        <v>6</v>
      </c>
    </row>
    <row r="12" spans="1:9" x14ac:dyDescent="0.2">
      <c r="A12" s="105" t="s">
        <v>439</v>
      </c>
      <c r="B12" s="105" t="s">
        <v>169</v>
      </c>
      <c r="C12" s="105" t="s">
        <v>900</v>
      </c>
      <c r="D12" s="106">
        <v>7</v>
      </c>
      <c r="E12" s="106">
        <v>7</v>
      </c>
      <c r="F12" s="107">
        <v>37225</v>
      </c>
    </row>
    <row r="13" spans="1:9" x14ac:dyDescent="0.2">
      <c r="A13" s="105" t="s">
        <v>440</v>
      </c>
      <c r="B13" s="105" t="s">
        <v>441</v>
      </c>
      <c r="C13" s="105" t="s">
        <v>901</v>
      </c>
      <c r="D13" s="106">
        <v>6</v>
      </c>
      <c r="E13" s="106">
        <v>6</v>
      </c>
    </row>
    <row r="14" spans="1:9" x14ac:dyDescent="0.2">
      <c r="A14" s="105" t="s">
        <v>442</v>
      </c>
      <c r="B14" s="105" t="s">
        <v>443</v>
      </c>
      <c r="C14" s="105" t="s">
        <v>902</v>
      </c>
      <c r="D14" s="106">
        <v>4</v>
      </c>
      <c r="E14" s="106">
        <v>4</v>
      </c>
    </row>
    <row r="15" spans="1:9" x14ac:dyDescent="0.2">
      <c r="A15" s="105" t="s">
        <v>444</v>
      </c>
      <c r="B15" s="105" t="s">
        <v>445</v>
      </c>
      <c r="C15" s="105" t="s">
        <v>903</v>
      </c>
      <c r="D15" s="106" t="s">
        <v>1414</v>
      </c>
      <c r="E15" s="106" t="s">
        <v>1414</v>
      </c>
    </row>
    <row r="16" spans="1:9" x14ac:dyDescent="0.2">
      <c r="A16" s="105" t="s">
        <v>446</v>
      </c>
      <c r="B16" s="105" t="s">
        <v>447</v>
      </c>
      <c r="C16" s="105" t="s">
        <v>904</v>
      </c>
      <c r="D16" s="106" t="s">
        <v>1414</v>
      </c>
      <c r="E16" s="106" t="s">
        <v>1414</v>
      </c>
    </row>
    <row r="17" spans="1:6" x14ac:dyDescent="0.2">
      <c r="A17" s="105" t="s">
        <v>448</v>
      </c>
      <c r="B17" s="105" t="s">
        <v>449</v>
      </c>
      <c r="C17" s="105" t="s">
        <v>905</v>
      </c>
      <c r="D17" s="106">
        <v>5</v>
      </c>
      <c r="E17" s="106">
        <v>5</v>
      </c>
    </row>
    <row r="18" spans="1:6" x14ac:dyDescent="0.2">
      <c r="A18" s="105" t="s">
        <v>450</v>
      </c>
      <c r="B18" s="105" t="s">
        <v>451</v>
      </c>
      <c r="C18" s="105" t="s">
        <v>906</v>
      </c>
      <c r="D18" s="106">
        <v>3</v>
      </c>
      <c r="E18" s="106">
        <v>3</v>
      </c>
    </row>
    <row r="19" spans="1:6" x14ac:dyDescent="0.2">
      <c r="A19" s="105" t="s">
        <v>452</v>
      </c>
      <c r="B19" s="105" t="s">
        <v>453</v>
      </c>
      <c r="C19" s="105" t="s">
        <v>907</v>
      </c>
      <c r="D19" s="106">
        <v>4</v>
      </c>
      <c r="E19" s="106">
        <v>4</v>
      </c>
    </row>
    <row r="20" spans="1:6" x14ac:dyDescent="0.2">
      <c r="A20" s="105" t="s">
        <v>454</v>
      </c>
      <c r="B20" s="105" t="s">
        <v>455</v>
      </c>
      <c r="C20" s="105" t="s">
        <v>908</v>
      </c>
      <c r="D20" s="106">
        <v>6</v>
      </c>
      <c r="E20" s="106">
        <v>6</v>
      </c>
    </row>
    <row r="21" spans="1:6" x14ac:dyDescent="0.2">
      <c r="A21" s="105" t="s">
        <v>132</v>
      </c>
      <c r="B21" s="105" t="s">
        <v>456</v>
      </c>
      <c r="C21" s="105" t="s">
        <v>909</v>
      </c>
      <c r="D21" s="106" t="s">
        <v>218</v>
      </c>
      <c r="E21" s="106" t="s">
        <v>218</v>
      </c>
    </row>
    <row r="22" spans="1:6" x14ac:dyDescent="0.2">
      <c r="A22" s="105" t="s">
        <v>457</v>
      </c>
      <c r="B22" s="105" t="s">
        <v>458</v>
      </c>
      <c r="C22" s="105" t="s">
        <v>910</v>
      </c>
      <c r="D22" s="106">
        <v>7</v>
      </c>
      <c r="E22" s="106">
        <v>7</v>
      </c>
    </row>
    <row r="23" spans="1:6" x14ac:dyDescent="0.2">
      <c r="A23" s="105" t="s">
        <v>459</v>
      </c>
      <c r="B23" s="105" t="s">
        <v>460</v>
      </c>
      <c r="C23" s="105" t="s">
        <v>911</v>
      </c>
      <c r="D23" s="106" t="s">
        <v>1414</v>
      </c>
      <c r="E23" s="106" t="s">
        <v>1414</v>
      </c>
    </row>
    <row r="24" spans="1:6" x14ac:dyDescent="0.2">
      <c r="A24" s="105" t="s">
        <v>461</v>
      </c>
      <c r="B24" s="105" t="s">
        <v>462</v>
      </c>
      <c r="C24" s="105" t="s">
        <v>912</v>
      </c>
      <c r="D24" s="106">
        <v>6</v>
      </c>
      <c r="E24" s="106">
        <v>6</v>
      </c>
      <c r="F24" s="107">
        <v>39082</v>
      </c>
    </row>
    <row r="25" spans="1:6" x14ac:dyDescent="0.2">
      <c r="A25" s="105" t="s">
        <v>463</v>
      </c>
      <c r="B25" s="105" t="s">
        <v>464</v>
      </c>
      <c r="C25" s="105" t="s">
        <v>913</v>
      </c>
      <c r="D25" s="106">
        <v>6</v>
      </c>
      <c r="E25" s="106">
        <v>6</v>
      </c>
    </row>
    <row r="26" spans="1:6" x14ac:dyDescent="0.2">
      <c r="A26" s="105" t="s">
        <v>465</v>
      </c>
      <c r="B26" s="105" t="s">
        <v>466</v>
      </c>
      <c r="C26" s="105" t="s">
        <v>914</v>
      </c>
      <c r="D26" s="106" t="s">
        <v>218</v>
      </c>
      <c r="E26" s="106" t="s">
        <v>218</v>
      </c>
    </row>
    <row r="27" spans="1:6" x14ac:dyDescent="0.2">
      <c r="A27" s="105" t="s">
        <v>467</v>
      </c>
      <c r="B27" s="105" t="s">
        <v>468</v>
      </c>
      <c r="C27" s="105" t="s">
        <v>915</v>
      </c>
      <c r="D27" s="106">
        <v>6</v>
      </c>
      <c r="E27" s="106">
        <v>6</v>
      </c>
    </row>
    <row r="28" spans="1:6" x14ac:dyDescent="0.2">
      <c r="A28" s="105" t="s">
        <v>469</v>
      </c>
      <c r="B28" s="105" t="s">
        <v>170</v>
      </c>
      <c r="C28" s="105" t="s">
        <v>916</v>
      </c>
      <c r="D28" s="106">
        <v>6</v>
      </c>
      <c r="E28" s="106">
        <v>6</v>
      </c>
    </row>
    <row r="29" spans="1:6" x14ac:dyDescent="0.2">
      <c r="A29" s="105" t="s">
        <v>137</v>
      </c>
      <c r="B29" s="105" t="s">
        <v>470</v>
      </c>
      <c r="C29" s="105" t="s">
        <v>917</v>
      </c>
      <c r="D29" s="106">
        <v>7</v>
      </c>
      <c r="E29" s="106">
        <v>7</v>
      </c>
    </row>
    <row r="30" spans="1:6" x14ac:dyDescent="0.2">
      <c r="A30" s="105" t="s">
        <v>471</v>
      </c>
      <c r="B30" s="105" t="s">
        <v>472</v>
      </c>
      <c r="C30" s="105" t="s">
        <v>918</v>
      </c>
      <c r="D30" s="106">
        <v>2</v>
      </c>
      <c r="E30" s="106">
        <v>2</v>
      </c>
    </row>
    <row r="31" spans="1:6" x14ac:dyDescent="0.2">
      <c r="A31" s="105" t="s">
        <v>473</v>
      </c>
      <c r="B31" s="105" t="s">
        <v>474</v>
      </c>
      <c r="C31" s="105" t="s">
        <v>1116</v>
      </c>
      <c r="D31" s="106" t="s">
        <v>218</v>
      </c>
      <c r="E31" s="106" t="s">
        <v>218</v>
      </c>
    </row>
    <row r="32" spans="1:6" x14ac:dyDescent="0.2">
      <c r="A32" s="105" t="s">
        <v>475</v>
      </c>
      <c r="B32" s="105" t="s">
        <v>476</v>
      </c>
      <c r="C32" s="105" t="s">
        <v>919</v>
      </c>
      <c r="D32" s="106">
        <v>3</v>
      </c>
      <c r="E32" s="106">
        <v>3</v>
      </c>
    </row>
    <row r="33" spans="1:6" x14ac:dyDescent="0.2">
      <c r="A33" s="105" t="s">
        <v>477</v>
      </c>
      <c r="B33" s="105" t="s">
        <v>478</v>
      </c>
      <c r="C33" s="105" t="s">
        <v>1117</v>
      </c>
      <c r="D33" s="106" t="s">
        <v>218</v>
      </c>
      <c r="E33" s="106" t="s">
        <v>218</v>
      </c>
    </row>
    <row r="34" spans="1:6" x14ac:dyDescent="0.2">
      <c r="A34" s="105" t="s">
        <v>479</v>
      </c>
      <c r="B34" s="105" t="s">
        <v>480</v>
      </c>
      <c r="C34" s="105" t="s">
        <v>1095</v>
      </c>
      <c r="D34" s="106">
        <v>2</v>
      </c>
      <c r="E34" s="106">
        <v>2</v>
      </c>
    </row>
    <row r="35" spans="1:6" x14ac:dyDescent="0.2">
      <c r="A35" s="105" t="s">
        <v>171</v>
      </c>
      <c r="B35" s="105" t="s">
        <v>481</v>
      </c>
      <c r="C35" s="105" t="s">
        <v>920</v>
      </c>
      <c r="D35" s="106">
        <v>4</v>
      </c>
      <c r="E35" s="106">
        <v>4</v>
      </c>
    </row>
    <row r="36" spans="1:6" x14ac:dyDescent="0.2">
      <c r="A36" s="105" t="s">
        <v>482</v>
      </c>
      <c r="B36" s="105" t="s">
        <v>483</v>
      </c>
      <c r="C36" s="105" t="s">
        <v>921</v>
      </c>
      <c r="D36" s="106">
        <v>7</v>
      </c>
      <c r="E36" s="106">
        <v>7</v>
      </c>
    </row>
    <row r="37" spans="1:6" x14ac:dyDescent="0.2">
      <c r="A37" s="105" t="s">
        <v>484</v>
      </c>
      <c r="B37" s="105" t="s">
        <v>485</v>
      </c>
      <c r="C37" s="105" t="s">
        <v>922</v>
      </c>
      <c r="D37" s="106">
        <v>7</v>
      </c>
      <c r="E37" s="106">
        <v>7</v>
      </c>
    </row>
    <row r="38" spans="1:6" x14ac:dyDescent="0.2">
      <c r="A38" s="105" t="s">
        <v>486</v>
      </c>
      <c r="B38" s="105" t="s">
        <v>487</v>
      </c>
      <c r="C38" s="105" t="s">
        <v>923</v>
      </c>
      <c r="D38" s="106">
        <v>6</v>
      </c>
      <c r="E38" s="106">
        <v>6</v>
      </c>
    </row>
    <row r="39" spans="1:6" x14ac:dyDescent="0.2">
      <c r="A39" s="105" t="s">
        <v>139</v>
      </c>
      <c r="B39" s="105" t="s">
        <v>488</v>
      </c>
      <c r="C39" s="105" t="s">
        <v>924</v>
      </c>
      <c r="D39" s="106">
        <v>6</v>
      </c>
      <c r="E39" s="106">
        <v>6</v>
      </c>
    </row>
    <row r="40" spans="1:6" x14ac:dyDescent="0.2">
      <c r="A40" s="105" t="s">
        <v>328</v>
      </c>
      <c r="B40" s="105" t="s">
        <v>489</v>
      </c>
      <c r="C40" s="105" t="s">
        <v>925</v>
      </c>
      <c r="D40" s="106" t="s">
        <v>1414</v>
      </c>
      <c r="E40" s="106" t="s">
        <v>1414</v>
      </c>
      <c r="F40" s="99"/>
    </row>
    <row r="41" spans="1:6" x14ac:dyDescent="0.2">
      <c r="A41" s="105" t="s">
        <v>490</v>
      </c>
      <c r="B41" s="105" t="s">
        <v>491</v>
      </c>
      <c r="C41" s="105" t="s">
        <v>926</v>
      </c>
      <c r="D41" s="106">
        <v>6</v>
      </c>
      <c r="E41" s="106">
        <v>6</v>
      </c>
    </row>
    <row r="42" spans="1:6" x14ac:dyDescent="0.2">
      <c r="A42" s="105" t="s">
        <v>492</v>
      </c>
      <c r="B42" s="105" t="s">
        <v>493</v>
      </c>
      <c r="C42" s="105" t="s">
        <v>927</v>
      </c>
      <c r="D42" s="106" t="s">
        <v>218</v>
      </c>
      <c r="E42" s="106" t="s">
        <v>218</v>
      </c>
    </row>
    <row r="43" spans="1:6" x14ac:dyDescent="0.2">
      <c r="A43" s="105" t="s">
        <v>494</v>
      </c>
      <c r="B43" s="105" t="s">
        <v>495</v>
      </c>
      <c r="C43" s="105" t="s">
        <v>928</v>
      </c>
      <c r="D43" s="106">
        <v>7</v>
      </c>
      <c r="E43" s="106">
        <v>7</v>
      </c>
    </row>
    <row r="44" spans="1:6" x14ac:dyDescent="0.2">
      <c r="A44" s="105" t="s">
        <v>496</v>
      </c>
      <c r="B44" s="105" t="s">
        <v>497</v>
      </c>
      <c r="C44" s="105" t="s">
        <v>929</v>
      </c>
      <c r="D44" s="106">
        <v>7</v>
      </c>
      <c r="E44" s="106">
        <v>7</v>
      </c>
    </row>
    <row r="45" spans="1:6" x14ac:dyDescent="0.2">
      <c r="A45" s="105" t="s">
        <v>79</v>
      </c>
      <c r="B45" s="105" t="s">
        <v>498</v>
      </c>
      <c r="C45" s="105" t="s">
        <v>930</v>
      </c>
      <c r="D45" s="106">
        <v>2</v>
      </c>
      <c r="E45" s="106" t="s">
        <v>1414</v>
      </c>
    </row>
    <row r="46" spans="1:6" x14ac:dyDescent="0.2">
      <c r="A46" s="105" t="s">
        <v>499</v>
      </c>
      <c r="B46" s="105" t="s">
        <v>500</v>
      </c>
      <c r="C46" s="105" t="s">
        <v>931</v>
      </c>
      <c r="D46" s="106">
        <v>2</v>
      </c>
      <c r="E46" s="106">
        <v>2</v>
      </c>
    </row>
    <row r="47" spans="1:6" x14ac:dyDescent="0.2">
      <c r="A47" s="105" t="s">
        <v>798</v>
      </c>
      <c r="B47" s="105" t="s">
        <v>799</v>
      </c>
      <c r="C47" s="105" t="s">
        <v>932</v>
      </c>
      <c r="D47" s="106">
        <v>1</v>
      </c>
      <c r="E47" s="106">
        <v>1</v>
      </c>
    </row>
    <row r="48" spans="1:6" x14ac:dyDescent="0.2">
      <c r="A48" s="105" t="s">
        <v>501</v>
      </c>
      <c r="B48" s="105" t="s">
        <v>502</v>
      </c>
      <c r="C48" s="105" t="s">
        <v>1118</v>
      </c>
      <c r="D48" s="106" t="s">
        <v>218</v>
      </c>
      <c r="E48" s="106" t="s">
        <v>218</v>
      </c>
    </row>
    <row r="49" spans="1:6" x14ac:dyDescent="0.2">
      <c r="A49" s="105" t="s">
        <v>503</v>
      </c>
      <c r="B49" s="105" t="s">
        <v>173</v>
      </c>
      <c r="C49" s="105" t="s">
        <v>1119</v>
      </c>
      <c r="D49" s="106" t="s">
        <v>218</v>
      </c>
      <c r="E49" s="106" t="s">
        <v>218</v>
      </c>
      <c r="F49" s="105"/>
    </row>
    <row r="50" spans="1:6" x14ac:dyDescent="0.2">
      <c r="A50" s="105" t="s">
        <v>339</v>
      </c>
      <c r="B50" s="105" t="s">
        <v>504</v>
      </c>
      <c r="C50" s="105" t="s">
        <v>933</v>
      </c>
      <c r="D50" s="106">
        <v>4</v>
      </c>
      <c r="E50" s="106">
        <v>4</v>
      </c>
      <c r="F50" s="105"/>
    </row>
    <row r="51" spans="1:6" x14ac:dyDescent="0.2">
      <c r="A51" s="105" t="s">
        <v>505</v>
      </c>
      <c r="B51" s="105" t="s">
        <v>506</v>
      </c>
      <c r="C51" s="105" t="s">
        <v>934</v>
      </c>
      <c r="D51" s="106" t="s">
        <v>218</v>
      </c>
      <c r="E51" s="106" t="s">
        <v>218</v>
      </c>
      <c r="F51" s="105"/>
    </row>
    <row r="52" spans="1:6" x14ac:dyDescent="0.2">
      <c r="A52" s="105" t="s">
        <v>332</v>
      </c>
      <c r="B52" s="105" t="s">
        <v>507</v>
      </c>
      <c r="C52" s="105" t="s">
        <v>935</v>
      </c>
      <c r="D52" s="106">
        <v>7</v>
      </c>
      <c r="E52" s="106">
        <v>7</v>
      </c>
      <c r="F52" s="105"/>
    </row>
    <row r="53" spans="1:6" x14ac:dyDescent="0.2">
      <c r="A53" s="105" t="s">
        <v>508</v>
      </c>
      <c r="B53" s="105" t="s">
        <v>509</v>
      </c>
      <c r="C53" s="105" t="s">
        <v>1096</v>
      </c>
      <c r="D53" s="106">
        <v>6</v>
      </c>
      <c r="E53" s="106">
        <v>6</v>
      </c>
      <c r="F53" s="105"/>
    </row>
    <row r="54" spans="1:6" x14ac:dyDescent="0.2">
      <c r="A54" s="105" t="s">
        <v>510</v>
      </c>
      <c r="B54" s="105" t="s">
        <v>511</v>
      </c>
      <c r="C54" s="105" t="s">
        <v>1120</v>
      </c>
      <c r="D54" s="106" t="s">
        <v>218</v>
      </c>
      <c r="E54" s="106" t="s">
        <v>218</v>
      </c>
      <c r="F54" s="105"/>
    </row>
    <row r="55" spans="1:6" x14ac:dyDescent="0.2">
      <c r="A55" s="105" t="s">
        <v>341</v>
      </c>
      <c r="B55" s="105" t="s">
        <v>512</v>
      </c>
      <c r="C55" s="105" t="s">
        <v>936</v>
      </c>
      <c r="D55" s="106">
        <v>3</v>
      </c>
      <c r="E55" s="106">
        <v>3</v>
      </c>
      <c r="F55" s="105"/>
    </row>
    <row r="56" spans="1:6" x14ac:dyDescent="0.2">
      <c r="A56" s="105" t="s">
        <v>336</v>
      </c>
      <c r="B56" s="105" t="s">
        <v>513</v>
      </c>
      <c r="C56" s="105" t="s">
        <v>937</v>
      </c>
      <c r="D56" s="106">
        <v>7</v>
      </c>
      <c r="E56" s="106">
        <v>7</v>
      </c>
      <c r="F56" s="105"/>
    </row>
    <row r="57" spans="1:6" x14ac:dyDescent="0.2">
      <c r="A57" s="105" t="s">
        <v>174</v>
      </c>
      <c r="B57" s="105" t="s">
        <v>514</v>
      </c>
      <c r="C57" s="105" t="s">
        <v>938</v>
      </c>
      <c r="D57" s="106">
        <v>5</v>
      </c>
      <c r="E57" s="106">
        <v>5</v>
      </c>
      <c r="F57" s="105"/>
    </row>
    <row r="58" spans="1:6" x14ac:dyDescent="0.2">
      <c r="A58" s="105" t="s">
        <v>515</v>
      </c>
      <c r="B58" s="105" t="s">
        <v>516</v>
      </c>
      <c r="C58" s="105" t="s">
        <v>939</v>
      </c>
      <c r="D58" s="106">
        <v>7</v>
      </c>
      <c r="E58" s="106">
        <v>7</v>
      </c>
      <c r="F58" s="105"/>
    </row>
    <row r="59" spans="1:6" x14ac:dyDescent="0.2">
      <c r="A59" s="105" t="s">
        <v>518</v>
      </c>
      <c r="B59" s="105" t="s">
        <v>519</v>
      </c>
      <c r="C59" s="105" t="s">
        <v>517</v>
      </c>
      <c r="D59" s="106" t="s">
        <v>218</v>
      </c>
      <c r="E59" s="106" t="s">
        <v>218</v>
      </c>
      <c r="F59" s="105"/>
    </row>
    <row r="60" spans="1:6" x14ac:dyDescent="0.2">
      <c r="A60" s="105" t="s">
        <v>520</v>
      </c>
      <c r="B60" s="105" t="s">
        <v>521</v>
      </c>
      <c r="C60" s="105" t="s">
        <v>940</v>
      </c>
      <c r="D60" s="106" t="s">
        <v>218</v>
      </c>
      <c r="E60" s="106" t="s">
        <v>218</v>
      </c>
      <c r="F60" s="105"/>
    </row>
    <row r="61" spans="1:6" x14ac:dyDescent="0.2">
      <c r="A61" s="105" t="s">
        <v>522</v>
      </c>
      <c r="B61" s="105" t="s">
        <v>523</v>
      </c>
      <c r="C61" s="105" t="s">
        <v>941</v>
      </c>
      <c r="D61" s="106" t="s">
        <v>1414</v>
      </c>
      <c r="E61" s="106" t="s">
        <v>1414</v>
      </c>
      <c r="F61" s="105"/>
    </row>
    <row r="62" spans="1:6" x14ac:dyDescent="0.2">
      <c r="A62" s="105" t="s">
        <v>524</v>
      </c>
      <c r="B62" s="105" t="s">
        <v>525</v>
      </c>
      <c r="C62" s="105" t="s">
        <v>942</v>
      </c>
      <c r="D62" s="106" t="s">
        <v>1414</v>
      </c>
      <c r="E62" s="106" t="s">
        <v>1414</v>
      </c>
      <c r="F62" s="105"/>
    </row>
    <row r="63" spans="1:6" x14ac:dyDescent="0.2">
      <c r="A63" s="105" t="s">
        <v>526</v>
      </c>
      <c r="B63" s="105" t="s">
        <v>527</v>
      </c>
      <c r="C63" s="105" t="s">
        <v>943</v>
      </c>
      <c r="D63" s="106">
        <v>7</v>
      </c>
      <c r="E63" s="106">
        <v>7</v>
      </c>
      <c r="F63" s="105"/>
    </row>
    <row r="64" spans="1:6" x14ac:dyDescent="0.2">
      <c r="A64" s="105" t="s">
        <v>528</v>
      </c>
      <c r="B64" s="105" t="s">
        <v>529</v>
      </c>
      <c r="C64" s="105" t="s">
        <v>944</v>
      </c>
      <c r="D64" s="106" t="s">
        <v>218</v>
      </c>
      <c r="E64" s="106" t="s">
        <v>218</v>
      </c>
      <c r="F64" s="105"/>
    </row>
    <row r="65" spans="1:6" x14ac:dyDescent="0.2">
      <c r="A65" s="105" t="s">
        <v>530</v>
      </c>
      <c r="B65" s="105" t="s">
        <v>531</v>
      </c>
      <c r="C65" s="105" t="s">
        <v>945</v>
      </c>
      <c r="D65" s="106">
        <v>5</v>
      </c>
      <c r="E65" s="106">
        <v>5</v>
      </c>
      <c r="F65" s="107">
        <v>38472</v>
      </c>
    </row>
    <row r="66" spans="1:6" x14ac:dyDescent="0.2">
      <c r="A66" s="105" t="s">
        <v>532</v>
      </c>
      <c r="B66" s="105" t="s">
        <v>533</v>
      </c>
      <c r="C66" s="105" t="s">
        <v>946</v>
      </c>
      <c r="D66" s="106">
        <v>7</v>
      </c>
      <c r="E66" s="106">
        <v>7</v>
      </c>
      <c r="F66" s="107">
        <v>39782</v>
      </c>
    </row>
    <row r="67" spans="1:6" x14ac:dyDescent="0.2">
      <c r="A67" s="105" t="s">
        <v>534</v>
      </c>
      <c r="B67" s="105" t="s">
        <v>535</v>
      </c>
      <c r="C67" s="105" t="s">
        <v>947</v>
      </c>
      <c r="D67" s="106">
        <v>6</v>
      </c>
      <c r="E67" s="106">
        <v>6</v>
      </c>
    </row>
    <row r="68" spans="1:6" x14ac:dyDescent="0.2">
      <c r="A68" s="105" t="s">
        <v>536</v>
      </c>
      <c r="B68" s="105" t="s">
        <v>537</v>
      </c>
      <c r="C68" s="105" t="s">
        <v>948</v>
      </c>
      <c r="D68" s="106">
        <v>4</v>
      </c>
      <c r="E68" s="106">
        <v>4</v>
      </c>
    </row>
    <row r="69" spans="1:6" x14ac:dyDescent="0.2">
      <c r="A69" s="105" t="s">
        <v>538</v>
      </c>
      <c r="B69" s="105" t="s">
        <v>539</v>
      </c>
      <c r="C69" s="105" t="s">
        <v>949</v>
      </c>
      <c r="D69" s="106">
        <v>7</v>
      </c>
      <c r="E69" s="106">
        <v>7</v>
      </c>
    </row>
    <row r="70" spans="1:6" x14ac:dyDescent="0.2">
      <c r="A70" s="105" t="s">
        <v>540</v>
      </c>
      <c r="B70" s="105" t="s">
        <v>541</v>
      </c>
      <c r="C70" s="105" t="s">
        <v>950</v>
      </c>
      <c r="D70" s="106">
        <v>7</v>
      </c>
      <c r="E70" s="106">
        <v>7</v>
      </c>
    </row>
    <row r="71" spans="1:6" x14ac:dyDescent="0.2">
      <c r="A71" s="105" t="s">
        <v>542</v>
      </c>
      <c r="B71" s="105" t="s">
        <v>543</v>
      </c>
      <c r="C71" s="105" t="s">
        <v>951</v>
      </c>
      <c r="D71" s="106" t="s">
        <v>1414</v>
      </c>
      <c r="E71" s="106" t="s">
        <v>1414</v>
      </c>
    </row>
    <row r="72" spans="1:6" x14ac:dyDescent="0.2">
      <c r="A72" s="105" t="s">
        <v>544</v>
      </c>
      <c r="B72" s="105" t="s">
        <v>545</v>
      </c>
      <c r="C72" s="105" t="s">
        <v>952</v>
      </c>
      <c r="D72" s="106">
        <v>7</v>
      </c>
      <c r="E72" s="106">
        <v>7</v>
      </c>
    </row>
    <row r="73" spans="1:6" x14ac:dyDescent="0.2">
      <c r="A73" s="105" t="s">
        <v>546</v>
      </c>
      <c r="B73" s="105" t="s">
        <v>547</v>
      </c>
      <c r="C73" s="105" t="s">
        <v>1121</v>
      </c>
      <c r="D73" s="106" t="s">
        <v>218</v>
      </c>
      <c r="E73" s="106" t="s">
        <v>218</v>
      </c>
    </row>
    <row r="74" spans="1:6" x14ac:dyDescent="0.2">
      <c r="A74" s="105" t="s">
        <v>548</v>
      </c>
      <c r="B74" s="105" t="s">
        <v>549</v>
      </c>
      <c r="C74" s="105" t="s">
        <v>953</v>
      </c>
      <c r="D74" s="106" t="s">
        <v>218</v>
      </c>
      <c r="E74" s="106" t="s">
        <v>218</v>
      </c>
    </row>
    <row r="75" spans="1:6" x14ac:dyDescent="0.2">
      <c r="A75" s="105" t="s">
        <v>550</v>
      </c>
      <c r="B75" s="105" t="s">
        <v>551</v>
      </c>
      <c r="C75" s="105" t="s">
        <v>954</v>
      </c>
      <c r="D75" s="106" t="s">
        <v>218</v>
      </c>
      <c r="E75" s="106">
        <v>6</v>
      </c>
    </row>
    <row r="76" spans="1:6" x14ac:dyDescent="0.2">
      <c r="A76" s="105" t="s">
        <v>552</v>
      </c>
      <c r="B76" s="105" t="s">
        <v>553</v>
      </c>
      <c r="C76" s="105" t="s">
        <v>955</v>
      </c>
      <c r="D76" s="106" t="s">
        <v>1414</v>
      </c>
      <c r="E76" s="106" t="s">
        <v>1414</v>
      </c>
    </row>
    <row r="77" spans="1:6" x14ac:dyDescent="0.2">
      <c r="A77" s="105" t="s">
        <v>655</v>
      </c>
      <c r="B77" s="105" t="s">
        <v>656</v>
      </c>
      <c r="C77" s="105" t="s">
        <v>1097</v>
      </c>
      <c r="D77" s="106">
        <v>5</v>
      </c>
      <c r="E77" s="106">
        <v>5</v>
      </c>
    </row>
    <row r="78" spans="1:6" x14ac:dyDescent="0.2">
      <c r="A78" s="105" t="s">
        <v>554</v>
      </c>
      <c r="B78" s="105" t="s">
        <v>555</v>
      </c>
      <c r="C78" s="105" t="s">
        <v>956</v>
      </c>
      <c r="D78" s="106" t="s">
        <v>1414</v>
      </c>
      <c r="E78" s="106" t="s">
        <v>1414</v>
      </c>
    </row>
    <row r="79" spans="1:6" x14ac:dyDescent="0.2">
      <c r="A79" s="105" t="s">
        <v>556</v>
      </c>
      <c r="B79" s="105" t="s">
        <v>557</v>
      </c>
      <c r="C79" s="105" t="s">
        <v>1122</v>
      </c>
      <c r="D79" s="106" t="s">
        <v>218</v>
      </c>
      <c r="E79" s="106" t="s">
        <v>218</v>
      </c>
    </row>
    <row r="80" spans="1:6" x14ac:dyDescent="0.2">
      <c r="A80" s="105" t="s">
        <v>558</v>
      </c>
      <c r="B80" s="105" t="s">
        <v>559</v>
      </c>
      <c r="C80" s="105" t="s">
        <v>957</v>
      </c>
      <c r="D80" s="106" t="s">
        <v>218</v>
      </c>
      <c r="E80" s="106" t="s">
        <v>218</v>
      </c>
    </row>
    <row r="81" spans="1:6" x14ac:dyDescent="0.2">
      <c r="A81" s="105" t="s">
        <v>560</v>
      </c>
      <c r="B81" s="105" t="s">
        <v>561</v>
      </c>
      <c r="C81" s="105" t="s">
        <v>1123</v>
      </c>
      <c r="D81" s="106" t="s">
        <v>218</v>
      </c>
      <c r="E81" s="106" t="s">
        <v>218</v>
      </c>
    </row>
    <row r="82" spans="1:6" x14ac:dyDescent="0.2">
      <c r="A82" s="105" t="s">
        <v>562</v>
      </c>
      <c r="B82" s="105" t="s">
        <v>563</v>
      </c>
      <c r="C82" s="105" t="s">
        <v>958</v>
      </c>
      <c r="D82" s="106">
        <v>5</v>
      </c>
      <c r="E82" s="106">
        <v>5</v>
      </c>
    </row>
    <row r="83" spans="1:6" x14ac:dyDescent="0.2">
      <c r="A83" s="105" t="s">
        <v>564</v>
      </c>
      <c r="B83" s="105" t="s">
        <v>565</v>
      </c>
      <c r="C83" s="105" t="s">
        <v>959</v>
      </c>
      <c r="D83" s="106">
        <v>7</v>
      </c>
      <c r="E83" s="106">
        <v>7</v>
      </c>
    </row>
    <row r="84" spans="1:6" x14ac:dyDescent="0.2">
      <c r="A84" s="105" t="s">
        <v>80</v>
      </c>
      <c r="B84" s="105" t="s">
        <v>566</v>
      </c>
      <c r="C84" s="105" t="s">
        <v>960</v>
      </c>
      <c r="D84" s="106">
        <v>6</v>
      </c>
      <c r="E84" s="106">
        <v>6</v>
      </c>
    </row>
    <row r="85" spans="1:6" x14ac:dyDescent="0.2">
      <c r="A85" s="105" t="s">
        <v>89</v>
      </c>
      <c r="B85" s="105" t="s">
        <v>567</v>
      </c>
      <c r="C85" s="105" t="s">
        <v>961</v>
      </c>
      <c r="D85" s="106" t="s">
        <v>1414</v>
      </c>
      <c r="E85" s="106" t="s">
        <v>1414</v>
      </c>
    </row>
    <row r="86" spans="1:6" x14ac:dyDescent="0.2">
      <c r="A86" s="105" t="s">
        <v>568</v>
      </c>
      <c r="B86" s="105" t="s">
        <v>569</v>
      </c>
      <c r="C86" s="105" t="s">
        <v>962</v>
      </c>
      <c r="D86" s="106">
        <v>5</v>
      </c>
      <c r="E86" s="106">
        <v>5</v>
      </c>
    </row>
    <row r="87" spans="1:6" x14ac:dyDescent="0.2">
      <c r="A87" s="105" t="s">
        <v>570</v>
      </c>
      <c r="B87" s="105" t="s">
        <v>571</v>
      </c>
      <c r="C87" s="105" t="s">
        <v>1124</v>
      </c>
      <c r="D87" s="106" t="s">
        <v>218</v>
      </c>
      <c r="E87" s="106" t="s">
        <v>218</v>
      </c>
    </row>
    <row r="88" spans="1:6" x14ac:dyDescent="0.2">
      <c r="A88" s="105" t="s">
        <v>572</v>
      </c>
      <c r="B88" s="105" t="s">
        <v>573</v>
      </c>
      <c r="C88" s="105" t="s">
        <v>963</v>
      </c>
      <c r="D88" s="106" t="s">
        <v>1414</v>
      </c>
      <c r="E88" s="106" t="s">
        <v>1414</v>
      </c>
      <c r="F88" s="107">
        <v>40963</v>
      </c>
    </row>
    <row r="89" spans="1:6" x14ac:dyDescent="0.2">
      <c r="A89" s="105" t="s">
        <v>574</v>
      </c>
      <c r="B89" s="105" t="s">
        <v>575</v>
      </c>
      <c r="C89" s="105" t="s">
        <v>964</v>
      </c>
      <c r="D89" s="106" t="s">
        <v>218</v>
      </c>
      <c r="E89" s="106" t="s">
        <v>218</v>
      </c>
    </row>
    <row r="90" spans="1:6" x14ac:dyDescent="0.2">
      <c r="A90" s="105" t="s">
        <v>147</v>
      </c>
      <c r="B90" s="105" t="s">
        <v>576</v>
      </c>
      <c r="C90" s="105" t="s">
        <v>965</v>
      </c>
      <c r="D90" s="106" t="s">
        <v>218</v>
      </c>
      <c r="E90" s="106" t="s">
        <v>218</v>
      </c>
    </row>
    <row r="91" spans="1:6" x14ac:dyDescent="0.2">
      <c r="A91" s="105" t="s">
        <v>577</v>
      </c>
      <c r="B91" s="105" t="s">
        <v>578</v>
      </c>
      <c r="C91" s="105" t="s">
        <v>1125</v>
      </c>
      <c r="D91" s="106" t="s">
        <v>218</v>
      </c>
      <c r="E91" s="106" t="s">
        <v>218</v>
      </c>
    </row>
    <row r="92" spans="1:6" x14ac:dyDescent="0.2">
      <c r="A92" s="105" t="s">
        <v>579</v>
      </c>
      <c r="B92" s="105" t="s">
        <v>580</v>
      </c>
      <c r="C92" s="105" t="s">
        <v>966</v>
      </c>
      <c r="D92" s="106" t="s">
        <v>218</v>
      </c>
      <c r="E92" s="106" t="s">
        <v>218</v>
      </c>
    </row>
    <row r="93" spans="1:6" x14ac:dyDescent="0.2">
      <c r="A93" s="105" t="s">
        <v>149</v>
      </c>
      <c r="B93" s="105" t="s">
        <v>581</v>
      </c>
      <c r="C93" s="105" t="s">
        <v>967</v>
      </c>
      <c r="D93" s="106">
        <v>5</v>
      </c>
      <c r="E93" s="106">
        <v>5</v>
      </c>
    </row>
    <row r="94" spans="1:6" x14ac:dyDescent="0.2">
      <c r="A94" s="105" t="s">
        <v>582</v>
      </c>
      <c r="B94" s="105" t="s">
        <v>583</v>
      </c>
      <c r="C94" s="105" t="s">
        <v>1146</v>
      </c>
      <c r="D94" s="106" t="s">
        <v>218</v>
      </c>
      <c r="E94" s="106" t="s">
        <v>218</v>
      </c>
    </row>
    <row r="95" spans="1:6" x14ac:dyDescent="0.2">
      <c r="A95" s="105" t="s">
        <v>166</v>
      </c>
      <c r="B95" s="105" t="s">
        <v>584</v>
      </c>
      <c r="C95" s="105" t="s">
        <v>968</v>
      </c>
      <c r="D95" s="106">
        <v>7</v>
      </c>
      <c r="E95" s="106">
        <v>7</v>
      </c>
    </row>
    <row r="96" spans="1:6" x14ac:dyDescent="0.2">
      <c r="A96" s="105" t="s">
        <v>585</v>
      </c>
      <c r="B96" s="105" t="s">
        <v>586</v>
      </c>
      <c r="C96" s="105" t="s">
        <v>969</v>
      </c>
      <c r="D96" s="106">
        <v>7</v>
      </c>
      <c r="E96" s="106">
        <v>7</v>
      </c>
    </row>
    <row r="97" spans="1:6" x14ac:dyDescent="0.2">
      <c r="A97" s="105" t="s">
        <v>587</v>
      </c>
      <c r="B97" s="105" t="s">
        <v>588</v>
      </c>
      <c r="C97" s="105" t="s">
        <v>970</v>
      </c>
      <c r="D97" s="106" t="s">
        <v>218</v>
      </c>
      <c r="E97" s="106" t="s">
        <v>218</v>
      </c>
    </row>
    <row r="98" spans="1:6" x14ac:dyDescent="0.2">
      <c r="A98" s="105" t="s">
        <v>589</v>
      </c>
      <c r="B98" s="105" t="s">
        <v>590</v>
      </c>
      <c r="C98" s="105" t="s">
        <v>971</v>
      </c>
      <c r="D98" s="106">
        <v>7</v>
      </c>
      <c r="E98" s="106">
        <v>7</v>
      </c>
    </row>
    <row r="99" spans="1:6" x14ac:dyDescent="0.2">
      <c r="A99" s="105" t="s">
        <v>591</v>
      </c>
      <c r="B99" s="105" t="s">
        <v>592</v>
      </c>
      <c r="C99" s="105" t="s">
        <v>1126</v>
      </c>
      <c r="D99" s="106" t="s">
        <v>218</v>
      </c>
      <c r="E99" s="106" t="s">
        <v>218</v>
      </c>
    </row>
    <row r="100" spans="1:6" x14ac:dyDescent="0.2">
      <c r="A100" s="105" t="s">
        <v>593</v>
      </c>
      <c r="B100" s="105" t="s">
        <v>594</v>
      </c>
      <c r="C100" s="105" t="s">
        <v>972</v>
      </c>
      <c r="D100" s="106">
        <v>6</v>
      </c>
      <c r="E100" s="106">
        <v>6</v>
      </c>
    </row>
    <row r="101" spans="1:6" x14ac:dyDescent="0.2">
      <c r="A101" s="105" t="s">
        <v>595</v>
      </c>
      <c r="B101" s="105" t="s">
        <v>596</v>
      </c>
      <c r="C101" s="105" t="s">
        <v>973</v>
      </c>
      <c r="D101" s="106">
        <v>1</v>
      </c>
      <c r="E101" s="106">
        <v>1</v>
      </c>
    </row>
    <row r="102" spans="1:6" x14ac:dyDescent="0.2">
      <c r="A102" s="105" t="s">
        <v>597</v>
      </c>
      <c r="B102" s="105" t="s">
        <v>598</v>
      </c>
      <c r="C102" s="105" t="s">
        <v>974</v>
      </c>
      <c r="D102" s="106" t="s">
        <v>1414</v>
      </c>
      <c r="E102" s="106" t="s">
        <v>1414</v>
      </c>
    </row>
    <row r="103" spans="1:6" x14ac:dyDescent="0.2">
      <c r="A103" s="105" t="s">
        <v>599</v>
      </c>
      <c r="B103" s="105" t="s">
        <v>600</v>
      </c>
      <c r="C103" s="105" t="s">
        <v>975</v>
      </c>
      <c r="D103" s="106" t="s">
        <v>1414</v>
      </c>
      <c r="E103" s="106" t="s">
        <v>1414</v>
      </c>
      <c r="F103" s="107">
        <v>39729</v>
      </c>
    </row>
    <row r="104" spans="1:6" x14ac:dyDescent="0.2">
      <c r="A104" s="105" t="s">
        <v>601</v>
      </c>
      <c r="B104" s="105" t="s">
        <v>602</v>
      </c>
      <c r="C104" s="105" t="s">
        <v>976</v>
      </c>
      <c r="D104" s="106">
        <v>3</v>
      </c>
      <c r="E104" s="106">
        <v>3</v>
      </c>
    </row>
    <row r="105" spans="1:6" x14ac:dyDescent="0.2">
      <c r="A105" s="105" t="s">
        <v>603</v>
      </c>
      <c r="B105" s="105" t="s">
        <v>604</v>
      </c>
      <c r="C105" s="105" t="s">
        <v>977</v>
      </c>
      <c r="D105" s="106">
        <v>3</v>
      </c>
      <c r="E105" s="106">
        <v>3</v>
      </c>
    </row>
    <row r="106" spans="1:6" x14ac:dyDescent="0.2">
      <c r="A106" s="105" t="s">
        <v>152</v>
      </c>
      <c r="B106" s="105" t="s">
        <v>605</v>
      </c>
      <c r="C106" s="105" t="s">
        <v>978</v>
      </c>
      <c r="D106" s="106">
        <v>7</v>
      </c>
      <c r="E106" s="106">
        <v>7</v>
      </c>
    </row>
    <row r="107" spans="1:6" x14ac:dyDescent="0.2">
      <c r="A107" s="105" t="s">
        <v>606</v>
      </c>
      <c r="B107" s="105" t="s">
        <v>607</v>
      </c>
      <c r="C107" s="105" t="s">
        <v>979</v>
      </c>
      <c r="D107" s="106">
        <v>7</v>
      </c>
      <c r="E107" s="106">
        <v>7</v>
      </c>
    </row>
    <row r="108" spans="1:6" x14ac:dyDescent="0.2">
      <c r="A108" s="105" t="s">
        <v>608</v>
      </c>
      <c r="B108" s="105" t="s">
        <v>609</v>
      </c>
      <c r="C108" s="105" t="s">
        <v>980</v>
      </c>
      <c r="D108" s="106" t="s">
        <v>1414</v>
      </c>
      <c r="E108" s="106" t="s">
        <v>1414</v>
      </c>
    </row>
    <row r="109" spans="1:6" x14ac:dyDescent="0.2">
      <c r="A109" s="105" t="s">
        <v>153</v>
      </c>
      <c r="B109" s="105" t="s">
        <v>610</v>
      </c>
      <c r="C109" s="105" t="s">
        <v>981</v>
      </c>
      <c r="D109" s="106" t="s">
        <v>218</v>
      </c>
      <c r="E109" s="106" t="s">
        <v>218</v>
      </c>
    </row>
    <row r="110" spans="1:6" x14ac:dyDescent="0.2">
      <c r="A110" s="105" t="s">
        <v>611</v>
      </c>
      <c r="B110" s="105" t="s">
        <v>612</v>
      </c>
      <c r="C110" s="105" t="s">
        <v>982</v>
      </c>
      <c r="D110" s="106" t="s">
        <v>1414</v>
      </c>
      <c r="E110" s="106" t="s">
        <v>1414</v>
      </c>
    </row>
    <row r="111" spans="1:6" x14ac:dyDescent="0.2">
      <c r="A111" s="105" t="s">
        <v>613</v>
      </c>
      <c r="B111" s="105" t="s">
        <v>614</v>
      </c>
      <c r="C111" s="105" t="s">
        <v>983</v>
      </c>
      <c r="D111" s="106" t="s">
        <v>1414</v>
      </c>
      <c r="E111" s="106" t="s">
        <v>1414</v>
      </c>
    </row>
    <row r="112" spans="1:6" x14ac:dyDescent="0.2">
      <c r="A112" s="105" t="s">
        <v>615</v>
      </c>
      <c r="B112" s="105" t="s">
        <v>616</v>
      </c>
      <c r="C112" s="105" t="s">
        <v>984</v>
      </c>
      <c r="D112" s="106">
        <v>7</v>
      </c>
      <c r="E112" s="106">
        <v>7</v>
      </c>
      <c r="F112" s="107">
        <v>40237</v>
      </c>
    </row>
    <row r="113" spans="1:6" x14ac:dyDescent="0.2">
      <c r="A113" s="105" t="s">
        <v>617</v>
      </c>
      <c r="B113" s="105" t="s">
        <v>618</v>
      </c>
      <c r="C113" s="105" t="s">
        <v>985</v>
      </c>
      <c r="D113" s="106" t="s">
        <v>1414</v>
      </c>
      <c r="E113" s="106" t="s">
        <v>1414</v>
      </c>
      <c r="F113" s="105"/>
    </row>
    <row r="114" spans="1:6" x14ac:dyDescent="0.2">
      <c r="A114" s="105" t="s">
        <v>619</v>
      </c>
      <c r="B114" s="105" t="s">
        <v>620</v>
      </c>
      <c r="C114" s="105" t="s">
        <v>1145</v>
      </c>
      <c r="D114" s="106" t="s">
        <v>218</v>
      </c>
      <c r="E114" s="106" t="s">
        <v>218</v>
      </c>
      <c r="F114" s="105"/>
    </row>
    <row r="115" spans="1:6" x14ac:dyDescent="0.2">
      <c r="A115" s="105" t="s">
        <v>621</v>
      </c>
      <c r="B115" s="105" t="s">
        <v>622</v>
      </c>
      <c r="C115" s="105" t="s">
        <v>986</v>
      </c>
      <c r="D115" s="106">
        <v>5</v>
      </c>
      <c r="E115" s="106">
        <v>5</v>
      </c>
      <c r="F115" s="105"/>
    </row>
    <row r="116" spans="1:6" x14ac:dyDescent="0.2">
      <c r="A116" s="105" t="s">
        <v>623</v>
      </c>
      <c r="B116" s="105" t="s">
        <v>624</v>
      </c>
      <c r="C116" s="105" t="s">
        <v>987</v>
      </c>
      <c r="D116" s="106">
        <v>5</v>
      </c>
      <c r="E116" s="106">
        <v>5</v>
      </c>
      <c r="F116" s="105"/>
    </row>
    <row r="117" spans="1:6" x14ac:dyDescent="0.2">
      <c r="A117" s="105" t="s">
        <v>625</v>
      </c>
      <c r="B117" s="105" t="s">
        <v>626</v>
      </c>
      <c r="C117" s="105" t="s">
        <v>988</v>
      </c>
      <c r="D117" s="106">
        <v>6</v>
      </c>
      <c r="E117" s="106">
        <v>6</v>
      </c>
      <c r="F117" s="105"/>
    </row>
    <row r="118" spans="1:6" x14ac:dyDescent="0.2">
      <c r="A118" s="105" t="s">
        <v>627</v>
      </c>
      <c r="B118" s="105" t="s">
        <v>628</v>
      </c>
      <c r="C118" s="105" t="s">
        <v>989</v>
      </c>
      <c r="D118" s="106" t="s">
        <v>218</v>
      </c>
      <c r="E118" s="106" t="s">
        <v>218</v>
      </c>
      <c r="F118" s="105"/>
    </row>
    <row r="119" spans="1:6" x14ac:dyDescent="0.2">
      <c r="A119" s="105" t="s">
        <v>175</v>
      </c>
      <c r="B119" s="105" t="s">
        <v>631</v>
      </c>
      <c r="C119" s="105" t="s">
        <v>990</v>
      </c>
      <c r="D119" s="106" t="s">
        <v>1414</v>
      </c>
      <c r="E119" s="106" t="s">
        <v>1414</v>
      </c>
      <c r="F119" s="105"/>
    </row>
    <row r="120" spans="1:6" x14ac:dyDescent="0.2">
      <c r="A120" s="105" t="s">
        <v>629</v>
      </c>
      <c r="B120" s="105" t="s">
        <v>630</v>
      </c>
      <c r="C120" s="105" t="s">
        <v>991</v>
      </c>
      <c r="D120" s="106">
        <v>7</v>
      </c>
      <c r="E120" s="106">
        <v>7</v>
      </c>
      <c r="F120" s="105"/>
    </row>
    <row r="121" spans="1:6" x14ac:dyDescent="0.2">
      <c r="A121" s="108" t="s">
        <v>1197</v>
      </c>
      <c r="B121" s="105" t="s">
        <v>992</v>
      </c>
      <c r="C121" s="105" t="s">
        <v>1098</v>
      </c>
      <c r="D121" s="106">
        <v>7</v>
      </c>
      <c r="E121" s="106">
        <v>7</v>
      </c>
      <c r="F121" s="105"/>
    </row>
    <row r="122" spans="1:6" x14ac:dyDescent="0.2">
      <c r="A122" s="105" t="s">
        <v>632</v>
      </c>
      <c r="B122" s="105" t="s">
        <v>633</v>
      </c>
      <c r="C122" s="105" t="s">
        <v>993</v>
      </c>
      <c r="D122" s="106">
        <v>2</v>
      </c>
      <c r="E122" s="106">
        <v>2</v>
      </c>
      <c r="F122" s="105"/>
    </row>
    <row r="123" spans="1:6" x14ac:dyDescent="0.2">
      <c r="A123" s="105" t="s">
        <v>634</v>
      </c>
      <c r="B123" s="105" t="s">
        <v>635</v>
      </c>
      <c r="C123" s="105" t="s">
        <v>1099</v>
      </c>
      <c r="D123" s="106">
        <v>7</v>
      </c>
      <c r="E123" s="106">
        <v>7</v>
      </c>
      <c r="F123" s="105"/>
    </row>
    <row r="124" spans="1:6" x14ac:dyDescent="0.2">
      <c r="A124" s="105" t="s">
        <v>636</v>
      </c>
      <c r="B124" s="105" t="s">
        <v>637</v>
      </c>
      <c r="C124" s="105" t="s">
        <v>994</v>
      </c>
      <c r="D124" s="106">
        <v>7</v>
      </c>
      <c r="E124" s="106">
        <v>7</v>
      </c>
      <c r="F124" s="105"/>
    </row>
    <row r="125" spans="1:6" x14ac:dyDescent="0.2">
      <c r="A125" s="105" t="s">
        <v>638</v>
      </c>
      <c r="B125" s="105" t="s">
        <v>639</v>
      </c>
      <c r="C125" s="105" t="s">
        <v>995</v>
      </c>
      <c r="D125" s="106">
        <v>4</v>
      </c>
      <c r="E125" s="106" t="s">
        <v>218</v>
      </c>
      <c r="F125" s="105"/>
    </row>
    <row r="126" spans="1:6" x14ac:dyDescent="0.2">
      <c r="A126" s="105" t="s">
        <v>640</v>
      </c>
      <c r="B126" s="105" t="s">
        <v>641</v>
      </c>
      <c r="C126" s="105" t="s">
        <v>996</v>
      </c>
      <c r="D126" s="106">
        <v>7</v>
      </c>
      <c r="E126" s="106">
        <v>7</v>
      </c>
      <c r="F126" s="105"/>
    </row>
    <row r="127" spans="1:6" x14ac:dyDescent="0.2">
      <c r="A127" s="105" t="s">
        <v>642</v>
      </c>
      <c r="B127" s="105" t="s">
        <v>643</v>
      </c>
      <c r="C127" s="105" t="s">
        <v>997</v>
      </c>
      <c r="D127" s="106">
        <v>5</v>
      </c>
      <c r="E127" s="106">
        <v>5</v>
      </c>
      <c r="F127" s="105"/>
    </row>
    <row r="128" spans="1:6" x14ac:dyDescent="0.2">
      <c r="A128" s="105" t="s">
        <v>644</v>
      </c>
      <c r="B128" s="105" t="s">
        <v>645</v>
      </c>
      <c r="C128" s="105" t="s">
        <v>998</v>
      </c>
      <c r="D128" s="106">
        <v>7</v>
      </c>
      <c r="E128" s="106">
        <v>7</v>
      </c>
      <c r="F128" s="105"/>
    </row>
    <row r="129" spans="1:6" x14ac:dyDescent="0.2">
      <c r="A129" s="105" t="s">
        <v>646</v>
      </c>
      <c r="B129" s="105" t="s">
        <v>647</v>
      </c>
      <c r="C129" s="105" t="s">
        <v>999</v>
      </c>
      <c r="D129" s="106">
        <v>7</v>
      </c>
      <c r="E129" s="106">
        <v>7</v>
      </c>
      <c r="F129" s="105"/>
    </row>
    <row r="130" spans="1:6" x14ac:dyDescent="0.2">
      <c r="A130" s="105" t="s">
        <v>648</v>
      </c>
      <c r="B130" s="105" t="s">
        <v>649</v>
      </c>
      <c r="C130" s="105" t="s">
        <v>1000</v>
      </c>
      <c r="D130" s="106" t="s">
        <v>218</v>
      </c>
      <c r="E130" s="106" t="s">
        <v>218</v>
      </c>
      <c r="F130" s="105"/>
    </row>
    <row r="131" spans="1:6" x14ac:dyDescent="0.2">
      <c r="A131" s="105" t="s">
        <v>650</v>
      </c>
      <c r="B131" s="105" t="s">
        <v>651</v>
      </c>
      <c r="C131" s="105" t="s">
        <v>1001</v>
      </c>
      <c r="D131" s="106">
        <v>2</v>
      </c>
      <c r="E131" s="106">
        <v>2</v>
      </c>
      <c r="F131" s="105"/>
    </row>
    <row r="132" spans="1:6" x14ac:dyDescent="0.2">
      <c r="A132" s="105" t="s">
        <v>652</v>
      </c>
      <c r="B132" s="105" t="s">
        <v>653</v>
      </c>
      <c r="C132" s="105" t="s">
        <v>1002</v>
      </c>
      <c r="D132" s="106" t="s">
        <v>1414</v>
      </c>
      <c r="E132" s="106" t="s">
        <v>1414</v>
      </c>
      <c r="F132" s="105"/>
    </row>
    <row r="133" spans="1:6" x14ac:dyDescent="0.2">
      <c r="A133" s="105" t="s">
        <v>90</v>
      </c>
      <c r="B133" s="105" t="s">
        <v>654</v>
      </c>
      <c r="C133" s="105" t="s">
        <v>1100</v>
      </c>
      <c r="D133" s="106">
        <v>2</v>
      </c>
      <c r="E133" s="106">
        <v>2</v>
      </c>
      <c r="F133" s="105"/>
    </row>
    <row r="134" spans="1:6" x14ac:dyDescent="0.2">
      <c r="A134" s="105" t="s">
        <v>657</v>
      </c>
      <c r="B134" s="105" t="s">
        <v>658</v>
      </c>
      <c r="C134" s="105" t="s">
        <v>1003</v>
      </c>
      <c r="D134" s="106">
        <v>7</v>
      </c>
      <c r="E134" s="106">
        <v>7</v>
      </c>
      <c r="F134" s="105"/>
    </row>
    <row r="135" spans="1:6" x14ac:dyDescent="0.2">
      <c r="A135" s="105" t="s">
        <v>659</v>
      </c>
      <c r="B135" s="105" t="s">
        <v>660</v>
      </c>
      <c r="C135" s="105" t="s">
        <v>1004</v>
      </c>
      <c r="D135" s="106">
        <v>7</v>
      </c>
      <c r="E135" s="106">
        <v>7</v>
      </c>
      <c r="F135" s="105"/>
    </row>
    <row r="136" spans="1:6" x14ac:dyDescent="0.2">
      <c r="A136" s="105" t="s">
        <v>661</v>
      </c>
      <c r="B136" s="105" t="s">
        <v>662</v>
      </c>
      <c r="C136" s="105" t="s">
        <v>1005</v>
      </c>
      <c r="D136" s="106">
        <v>2</v>
      </c>
      <c r="E136" s="106">
        <v>2</v>
      </c>
      <c r="F136" s="105"/>
    </row>
    <row r="137" spans="1:6" x14ac:dyDescent="0.2">
      <c r="A137" s="105" t="s">
        <v>663</v>
      </c>
      <c r="B137" s="105" t="s">
        <v>664</v>
      </c>
      <c r="C137" s="105" t="s">
        <v>1006</v>
      </c>
      <c r="D137" s="106">
        <v>7</v>
      </c>
      <c r="E137" s="106">
        <v>7</v>
      </c>
      <c r="F137" s="105"/>
    </row>
    <row r="138" spans="1:6" x14ac:dyDescent="0.2">
      <c r="A138" s="105" t="s">
        <v>665</v>
      </c>
      <c r="B138" s="105" t="s">
        <v>666</v>
      </c>
      <c r="C138" s="105" t="s">
        <v>1007</v>
      </c>
      <c r="D138" s="106">
        <v>7</v>
      </c>
      <c r="E138" s="106">
        <v>7</v>
      </c>
      <c r="F138" s="105"/>
    </row>
    <row r="139" spans="1:6" x14ac:dyDescent="0.2">
      <c r="A139" s="105" t="s">
        <v>667</v>
      </c>
      <c r="B139" s="105" t="s">
        <v>668</v>
      </c>
      <c r="C139" s="105" t="s">
        <v>1008</v>
      </c>
      <c r="D139" s="106" t="s">
        <v>218</v>
      </c>
      <c r="E139" s="106" t="s">
        <v>218</v>
      </c>
      <c r="F139" s="105"/>
    </row>
    <row r="140" spans="1:6" x14ac:dyDescent="0.2">
      <c r="A140" s="105" t="s">
        <v>669</v>
      </c>
      <c r="B140" s="105" t="s">
        <v>670</v>
      </c>
      <c r="C140" s="105" t="s">
        <v>1009</v>
      </c>
      <c r="D140" s="106" t="s">
        <v>218</v>
      </c>
      <c r="E140" s="106" t="s">
        <v>218</v>
      </c>
      <c r="F140" s="105"/>
    </row>
    <row r="141" spans="1:6" x14ac:dyDescent="0.2">
      <c r="A141" s="105" t="s">
        <v>671</v>
      </c>
      <c r="B141" s="105" t="s">
        <v>672</v>
      </c>
      <c r="C141" s="105" t="s">
        <v>1127</v>
      </c>
      <c r="D141" s="106" t="s">
        <v>218</v>
      </c>
      <c r="E141" s="106" t="s">
        <v>218</v>
      </c>
      <c r="F141" s="105"/>
    </row>
    <row r="142" spans="1:6" x14ac:dyDescent="0.2">
      <c r="A142" s="105" t="s">
        <v>673</v>
      </c>
      <c r="B142" s="105" t="s">
        <v>674</v>
      </c>
      <c r="C142" s="105" t="s">
        <v>1010</v>
      </c>
      <c r="D142" s="106">
        <v>7</v>
      </c>
      <c r="E142" s="106">
        <v>7</v>
      </c>
      <c r="F142" s="105"/>
    </row>
    <row r="143" spans="1:6" x14ac:dyDescent="0.2">
      <c r="A143" s="105" t="s">
        <v>675</v>
      </c>
      <c r="B143" s="105" t="s">
        <v>676</v>
      </c>
      <c r="C143" s="105" t="s">
        <v>1011</v>
      </c>
      <c r="D143" s="106">
        <v>3</v>
      </c>
      <c r="E143" s="106">
        <v>3</v>
      </c>
      <c r="F143" s="105"/>
    </row>
    <row r="144" spans="1:6" x14ac:dyDescent="0.2">
      <c r="A144" s="105" t="s">
        <v>677</v>
      </c>
      <c r="B144" s="105" t="s">
        <v>678</v>
      </c>
      <c r="C144" s="105" t="s">
        <v>1012</v>
      </c>
      <c r="D144" s="106" t="s">
        <v>218</v>
      </c>
      <c r="E144" s="106" t="s">
        <v>218</v>
      </c>
      <c r="F144" s="105"/>
    </row>
    <row r="145" spans="1:6" x14ac:dyDescent="0.2">
      <c r="A145" s="105" t="s">
        <v>679</v>
      </c>
      <c r="B145" s="105" t="s">
        <v>109</v>
      </c>
      <c r="C145" s="105" t="s">
        <v>1013</v>
      </c>
      <c r="D145" s="106">
        <v>3</v>
      </c>
      <c r="E145" s="106">
        <v>3</v>
      </c>
    </row>
    <row r="146" spans="1:6" x14ac:dyDescent="0.2">
      <c r="A146" s="105" t="s">
        <v>680</v>
      </c>
      <c r="B146" s="105" t="s">
        <v>681</v>
      </c>
      <c r="C146" s="105" t="s">
        <v>1101</v>
      </c>
      <c r="D146" s="106" t="s">
        <v>218</v>
      </c>
      <c r="E146" s="106" t="s">
        <v>218</v>
      </c>
    </row>
    <row r="147" spans="1:6" x14ac:dyDescent="0.2">
      <c r="A147" s="105" t="s">
        <v>682</v>
      </c>
      <c r="B147" s="105" t="s">
        <v>683</v>
      </c>
      <c r="C147" s="105" t="s">
        <v>1014</v>
      </c>
      <c r="D147" s="106">
        <v>7</v>
      </c>
      <c r="E147" s="106">
        <v>7</v>
      </c>
      <c r="F147" s="107">
        <v>37437</v>
      </c>
    </row>
    <row r="148" spans="1:6" x14ac:dyDescent="0.2">
      <c r="A148" s="105" t="s">
        <v>684</v>
      </c>
      <c r="B148" s="105" t="s">
        <v>88</v>
      </c>
      <c r="C148" s="105" t="s">
        <v>1015</v>
      </c>
      <c r="D148" s="106" t="s">
        <v>218</v>
      </c>
      <c r="E148" s="106" t="s">
        <v>218</v>
      </c>
    </row>
    <row r="149" spans="1:6" x14ac:dyDescent="0.2">
      <c r="A149" s="105" t="s">
        <v>685</v>
      </c>
      <c r="B149" s="105" t="s">
        <v>686</v>
      </c>
      <c r="C149" s="105" t="s">
        <v>1016</v>
      </c>
      <c r="D149" s="106">
        <v>5</v>
      </c>
      <c r="E149" s="106">
        <v>6</v>
      </c>
    </row>
    <row r="150" spans="1:6" x14ac:dyDescent="0.2">
      <c r="A150" s="105" t="s">
        <v>1193</v>
      </c>
      <c r="B150" s="105" t="s">
        <v>1017</v>
      </c>
      <c r="C150" s="105" t="s">
        <v>1018</v>
      </c>
      <c r="D150" s="106">
        <v>6</v>
      </c>
      <c r="E150" s="106">
        <v>6</v>
      </c>
    </row>
    <row r="151" spans="1:6" x14ac:dyDescent="0.2">
      <c r="A151" s="105" t="s">
        <v>82</v>
      </c>
      <c r="B151" s="105" t="s">
        <v>687</v>
      </c>
      <c r="C151" s="105" t="s">
        <v>1128</v>
      </c>
      <c r="D151" s="106" t="s">
        <v>218</v>
      </c>
      <c r="E151" s="106" t="s">
        <v>218</v>
      </c>
    </row>
    <row r="152" spans="1:6" x14ac:dyDescent="0.2">
      <c r="A152" s="105" t="s">
        <v>688</v>
      </c>
      <c r="B152" s="105" t="s">
        <v>168</v>
      </c>
      <c r="C152" s="105" t="s">
        <v>1019</v>
      </c>
      <c r="D152" s="106">
        <v>3</v>
      </c>
      <c r="E152" s="106">
        <v>3</v>
      </c>
    </row>
    <row r="153" spans="1:6" x14ac:dyDescent="0.2">
      <c r="A153" s="105" t="s">
        <v>689</v>
      </c>
      <c r="B153" s="105" t="s">
        <v>690</v>
      </c>
      <c r="C153" s="105" t="s">
        <v>1020</v>
      </c>
      <c r="D153" s="106">
        <v>6</v>
      </c>
      <c r="E153" s="106">
        <v>6</v>
      </c>
    </row>
    <row r="154" spans="1:6" x14ac:dyDescent="0.2">
      <c r="A154" s="105" t="s">
        <v>691</v>
      </c>
      <c r="B154" s="105" t="s">
        <v>692</v>
      </c>
      <c r="C154" s="105" t="s">
        <v>1021</v>
      </c>
      <c r="D154" s="106">
        <v>7</v>
      </c>
      <c r="E154" s="106">
        <v>7</v>
      </c>
    </row>
    <row r="155" spans="1:6" x14ac:dyDescent="0.2">
      <c r="A155" s="105" t="s">
        <v>73</v>
      </c>
      <c r="B155" s="105" t="s">
        <v>693</v>
      </c>
      <c r="C155" s="105" t="s">
        <v>1022</v>
      </c>
      <c r="D155" s="106">
        <v>3</v>
      </c>
      <c r="E155" s="106">
        <v>3</v>
      </c>
    </row>
    <row r="156" spans="1:6" x14ac:dyDescent="0.2">
      <c r="A156" s="105" t="s">
        <v>106</v>
      </c>
      <c r="B156" s="105" t="s">
        <v>694</v>
      </c>
      <c r="C156" s="105" t="s">
        <v>1102</v>
      </c>
      <c r="D156" s="106" t="s">
        <v>218</v>
      </c>
      <c r="E156" s="106" t="s">
        <v>218</v>
      </c>
    </row>
    <row r="157" spans="1:6" x14ac:dyDescent="0.2">
      <c r="A157" s="105" t="s">
        <v>157</v>
      </c>
      <c r="B157" s="105" t="s">
        <v>695</v>
      </c>
      <c r="C157" s="105" t="s">
        <v>1023</v>
      </c>
      <c r="D157" s="106">
        <v>7</v>
      </c>
      <c r="E157" s="106">
        <v>6</v>
      </c>
    </row>
    <row r="158" spans="1:6" x14ac:dyDescent="0.2">
      <c r="A158" s="105" t="s">
        <v>696</v>
      </c>
      <c r="B158" s="105" t="s">
        <v>697</v>
      </c>
      <c r="C158" s="105" t="s">
        <v>1024</v>
      </c>
      <c r="D158" s="106" t="s">
        <v>1414</v>
      </c>
      <c r="E158" s="106" t="s">
        <v>1414</v>
      </c>
    </row>
    <row r="159" spans="1:6" x14ac:dyDescent="0.2">
      <c r="A159" s="105" t="s">
        <v>698</v>
      </c>
      <c r="B159" s="105" t="s">
        <v>699</v>
      </c>
      <c r="C159" s="105" t="s">
        <v>1129</v>
      </c>
      <c r="D159" s="106" t="s">
        <v>218</v>
      </c>
      <c r="E159" s="106" t="s">
        <v>218</v>
      </c>
    </row>
    <row r="160" spans="1:6" x14ac:dyDescent="0.2">
      <c r="A160" s="105" t="s">
        <v>700</v>
      </c>
      <c r="B160" s="105" t="s">
        <v>701</v>
      </c>
      <c r="C160" s="105" t="s">
        <v>1025</v>
      </c>
      <c r="D160" s="106" t="s">
        <v>218</v>
      </c>
      <c r="E160" s="106" t="s">
        <v>218</v>
      </c>
    </row>
    <row r="161" spans="1:6" x14ac:dyDescent="0.2">
      <c r="A161" s="105" t="s">
        <v>702</v>
      </c>
      <c r="B161" s="105" t="s">
        <v>703</v>
      </c>
      <c r="C161" s="105" t="s">
        <v>1026</v>
      </c>
      <c r="D161" s="106" t="s">
        <v>1414</v>
      </c>
      <c r="E161" s="106" t="s">
        <v>1414</v>
      </c>
    </row>
    <row r="162" spans="1:6" x14ac:dyDescent="0.2">
      <c r="A162" s="105" t="s">
        <v>158</v>
      </c>
      <c r="B162" s="105" t="s">
        <v>704</v>
      </c>
      <c r="C162" s="105" t="s">
        <v>1027</v>
      </c>
      <c r="D162" s="106">
        <v>7</v>
      </c>
      <c r="E162" s="106">
        <v>7</v>
      </c>
    </row>
    <row r="163" spans="1:6" x14ac:dyDescent="0.2">
      <c r="A163" s="105" t="s">
        <v>705</v>
      </c>
      <c r="B163" s="105" t="s">
        <v>706</v>
      </c>
      <c r="C163" s="105" t="s">
        <v>1028</v>
      </c>
      <c r="D163" s="106">
        <v>7</v>
      </c>
      <c r="E163" s="106">
        <v>7</v>
      </c>
    </row>
    <row r="164" spans="1:6" x14ac:dyDescent="0.2">
      <c r="A164" s="105" t="s">
        <v>707</v>
      </c>
      <c r="B164" s="105" t="s">
        <v>708</v>
      </c>
      <c r="C164" s="105" t="s">
        <v>1029</v>
      </c>
      <c r="D164" s="106">
        <v>5</v>
      </c>
      <c r="E164" s="106">
        <v>5</v>
      </c>
    </row>
    <row r="165" spans="1:6" x14ac:dyDescent="0.2">
      <c r="A165" s="105" t="s">
        <v>143</v>
      </c>
      <c r="B165" s="105" t="s">
        <v>709</v>
      </c>
      <c r="C165" s="105" t="s">
        <v>1130</v>
      </c>
      <c r="D165" s="106" t="s">
        <v>218</v>
      </c>
      <c r="E165" s="106" t="s">
        <v>218</v>
      </c>
    </row>
    <row r="166" spans="1:6" x14ac:dyDescent="0.2">
      <c r="A166" s="105" t="s">
        <v>710</v>
      </c>
      <c r="B166" s="105" t="s">
        <v>711</v>
      </c>
      <c r="C166" s="105" t="s">
        <v>1131</v>
      </c>
      <c r="D166" s="106" t="s">
        <v>218</v>
      </c>
      <c r="E166" s="106" t="s">
        <v>218</v>
      </c>
    </row>
    <row r="167" spans="1:6" x14ac:dyDescent="0.2">
      <c r="A167" s="105" t="s">
        <v>712</v>
      </c>
      <c r="B167" s="105" t="s">
        <v>713</v>
      </c>
      <c r="C167" s="105" t="s">
        <v>1030</v>
      </c>
      <c r="D167" s="106" t="s">
        <v>218</v>
      </c>
      <c r="E167" s="106" t="s">
        <v>218</v>
      </c>
    </row>
    <row r="168" spans="1:6" x14ac:dyDescent="0.2">
      <c r="A168" s="105" t="s">
        <v>714</v>
      </c>
      <c r="B168" s="105" t="s">
        <v>715</v>
      </c>
      <c r="C168" s="105" t="s">
        <v>1031</v>
      </c>
      <c r="D168" s="106" t="s">
        <v>1414</v>
      </c>
      <c r="E168" s="106" t="s">
        <v>1414</v>
      </c>
    </row>
    <row r="169" spans="1:6" x14ac:dyDescent="0.2">
      <c r="A169" s="105" t="s">
        <v>716</v>
      </c>
      <c r="B169" s="105" t="s">
        <v>717</v>
      </c>
      <c r="C169" s="105" t="s">
        <v>1032</v>
      </c>
      <c r="D169" s="106">
        <v>2</v>
      </c>
      <c r="E169" s="106">
        <v>2</v>
      </c>
    </row>
    <row r="170" spans="1:6" x14ac:dyDescent="0.2">
      <c r="A170" s="105" t="s">
        <v>718</v>
      </c>
      <c r="B170" s="105" t="s">
        <v>719</v>
      </c>
      <c r="C170" s="105" t="s">
        <v>1033</v>
      </c>
      <c r="D170" s="106">
        <v>7</v>
      </c>
      <c r="E170" s="106">
        <v>7</v>
      </c>
      <c r="F170" s="107">
        <v>36372</v>
      </c>
    </row>
    <row r="171" spans="1:6" x14ac:dyDescent="0.2">
      <c r="A171" s="105" t="s">
        <v>720</v>
      </c>
      <c r="B171" s="105" t="s">
        <v>721</v>
      </c>
      <c r="C171" s="105" t="s">
        <v>1034</v>
      </c>
      <c r="D171" s="106" t="s">
        <v>218</v>
      </c>
      <c r="E171" s="106" t="s">
        <v>218</v>
      </c>
    </row>
    <row r="172" spans="1:6" x14ac:dyDescent="0.2">
      <c r="A172" s="105" t="s">
        <v>724</v>
      </c>
      <c r="B172" s="105" t="s">
        <v>725</v>
      </c>
      <c r="C172" s="105" t="s">
        <v>1035</v>
      </c>
      <c r="D172" s="106">
        <v>3</v>
      </c>
      <c r="E172" s="106">
        <v>3</v>
      </c>
    </row>
    <row r="173" spans="1:6" x14ac:dyDescent="0.2">
      <c r="A173" s="105" t="s">
        <v>83</v>
      </c>
      <c r="B173" s="105" t="s">
        <v>726</v>
      </c>
      <c r="C173" s="105" t="s">
        <v>1036</v>
      </c>
      <c r="D173" s="106">
        <v>5</v>
      </c>
      <c r="E173" s="106">
        <v>5</v>
      </c>
    </row>
    <row r="174" spans="1:6" x14ac:dyDescent="0.2">
      <c r="A174" s="105" t="s">
        <v>727</v>
      </c>
      <c r="B174" s="105" t="s">
        <v>728</v>
      </c>
      <c r="C174" s="105" t="s">
        <v>1037</v>
      </c>
      <c r="D174" s="106">
        <v>5</v>
      </c>
      <c r="E174" s="106">
        <v>5</v>
      </c>
    </row>
    <row r="175" spans="1:6" x14ac:dyDescent="0.2">
      <c r="A175" s="105" t="s">
        <v>729</v>
      </c>
      <c r="B175" s="105" t="s">
        <v>730</v>
      </c>
      <c r="C175" s="105" t="s">
        <v>1038</v>
      </c>
      <c r="D175" s="106">
        <v>3</v>
      </c>
      <c r="E175" s="106">
        <v>3</v>
      </c>
      <c r="F175" s="107">
        <v>36799</v>
      </c>
    </row>
    <row r="176" spans="1:6" x14ac:dyDescent="0.2">
      <c r="A176" s="105" t="s">
        <v>731</v>
      </c>
      <c r="B176" s="105" t="s">
        <v>732</v>
      </c>
      <c r="C176" s="105" t="s">
        <v>1039</v>
      </c>
      <c r="D176" s="106">
        <v>3</v>
      </c>
      <c r="E176" s="106">
        <v>3</v>
      </c>
    </row>
    <row r="177" spans="1:6" x14ac:dyDescent="0.2">
      <c r="A177" s="105" t="s">
        <v>733</v>
      </c>
      <c r="B177" s="105" t="s">
        <v>734</v>
      </c>
      <c r="C177" s="105" t="s">
        <v>1132</v>
      </c>
      <c r="D177" s="106" t="s">
        <v>218</v>
      </c>
      <c r="E177" s="106" t="s">
        <v>218</v>
      </c>
    </row>
    <row r="178" spans="1:6" x14ac:dyDescent="0.2">
      <c r="A178" s="105" t="s">
        <v>177</v>
      </c>
      <c r="B178" s="105" t="s">
        <v>176</v>
      </c>
      <c r="C178" s="105" t="s">
        <v>1040</v>
      </c>
      <c r="D178" s="106" t="s">
        <v>1414</v>
      </c>
      <c r="E178" s="106" t="s">
        <v>1414</v>
      </c>
    </row>
    <row r="179" spans="1:6" x14ac:dyDescent="0.2">
      <c r="A179" s="105" t="s">
        <v>735</v>
      </c>
      <c r="B179" s="105" t="s">
        <v>736</v>
      </c>
      <c r="C179" s="105" t="s">
        <v>1041</v>
      </c>
      <c r="D179" s="106" t="s">
        <v>1414</v>
      </c>
      <c r="E179" s="106" t="s">
        <v>1414</v>
      </c>
    </row>
    <row r="180" spans="1:6" x14ac:dyDescent="0.2">
      <c r="A180" s="105" t="s">
        <v>737</v>
      </c>
      <c r="B180" s="105" t="s">
        <v>738</v>
      </c>
      <c r="C180" s="105" t="s">
        <v>1042</v>
      </c>
      <c r="D180" s="106" t="s">
        <v>218</v>
      </c>
      <c r="E180" s="106" t="s">
        <v>218</v>
      </c>
    </row>
    <row r="181" spans="1:6" x14ac:dyDescent="0.2">
      <c r="A181" s="105" t="s">
        <v>739</v>
      </c>
      <c r="B181" s="105" t="s">
        <v>740</v>
      </c>
      <c r="C181" s="105" t="s">
        <v>1043</v>
      </c>
      <c r="D181" s="106">
        <v>3</v>
      </c>
      <c r="E181" s="106">
        <v>3</v>
      </c>
    </row>
    <row r="182" spans="1:6" x14ac:dyDescent="0.2">
      <c r="A182" s="105" t="s">
        <v>741</v>
      </c>
      <c r="B182" s="105" t="s">
        <v>742</v>
      </c>
      <c r="C182" s="105" t="s">
        <v>1133</v>
      </c>
      <c r="D182" s="106" t="s">
        <v>218</v>
      </c>
      <c r="E182" s="106" t="s">
        <v>218</v>
      </c>
    </row>
    <row r="183" spans="1:6" x14ac:dyDescent="0.2">
      <c r="A183" s="105" t="s">
        <v>743</v>
      </c>
      <c r="B183" s="105" t="s">
        <v>744</v>
      </c>
      <c r="C183" s="105" t="s">
        <v>1044</v>
      </c>
      <c r="D183" s="106">
        <v>4</v>
      </c>
      <c r="E183" s="106">
        <v>4</v>
      </c>
    </row>
    <row r="184" spans="1:6" x14ac:dyDescent="0.2">
      <c r="A184" s="105" t="s">
        <v>745</v>
      </c>
      <c r="B184" s="105" t="s">
        <v>746</v>
      </c>
      <c r="C184" s="105" t="s">
        <v>1045</v>
      </c>
      <c r="D184" s="106">
        <v>3</v>
      </c>
      <c r="E184" s="106">
        <v>3</v>
      </c>
      <c r="F184" s="107">
        <v>36038</v>
      </c>
    </row>
    <row r="185" spans="1:6" x14ac:dyDescent="0.2">
      <c r="A185" s="105" t="s">
        <v>747</v>
      </c>
      <c r="B185" s="105" t="s">
        <v>748</v>
      </c>
      <c r="C185" s="105" t="s">
        <v>1046</v>
      </c>
      <c r="D185" s="106">
        <v>7</v>
      </c>
      <c r="E185" s="106">
        <v>7</v>
      </c>
    </row>
    <row r="186" spans="1:6" x14ac:dyDescent="0.2">
      <c r="A186" s="105" t="s">
        <v>749</v>
      </c>
      <c r="B186" s="105" t="s">
        <v>750</v>
      </c>
      <c r="C186" s="105" t="s">
        <v>1134</v>
      </c>
      <c r="D186" s="106" t="s">
        <v>218</v>
      </c>
      <c r="E186" s="106" t="s">
        <v>218</v>
      </c>
    </row>
    <row r="187" spans="1:6" x14ac:dyDescent="0.2">
      <c r="A187" s="105" t="s">
        <v>84</v>
      </c>
      <c r="B187" s="105" t="s">
        <v>755</v>
      </c>
      <c r="C187" s="105" t="s">
        <v>1135</v>
      </c>
      <c r="D187" s="106" t="s">
        <v>218</v>
      </c>
      <c r="E187" s="106" t="s">
        <v>218</v>
      </c>
    </row>
    <row r="188" spans="1:6" x14ac:dyDescent="0.2">
      <c r="A188" s="105" t="s">
        <v>758</v>
      </c>
      <c r="B188" s="105" t="s">
        <v>759</v>
      </c>
      <c r="C188" s="105" t="s">
        <v>1047</v>
      </c>
      <c r="D188" s="106" t="s">
        <v>218</v>
      </c>
      <c r="E188" s="106" t="s">
        <v>218</v>
      </c>
    </row>
    <row r="189" spans="1:6" x14ac:dyDescent="0.2">
      <c r="A189" s="105" t="s">
        <v>760</v>
      </c>
      <c r="B189" s="105" t="s">
        <v>761</v>
      </c>
      <c r="C189" s="105" t="s">
        <v>1048</v>
      </c>
      <c r="D189" s="106" t="s">
        <v>218</v>
      </c>
      <c r="E189" s="106" t="s">
        <v>218</v>
      </c>
    </row>
    <row r="190" spans="1:6" x14ac:dyDescent="0.2">
      <c r="A190" s="105" t="s">
        <v>391</v>
      </c>
      <c r="B190" s="105" t="s">
        <v>762</v>
      </c>
      <c r="C190" s="105" t="s">
        <v>1049</v>
      </c>
      <c r="D190" s="106" t="s">
        <v>218</v>
      </c>
      <c r="E190" s="106" t="s">
        <v>218</v>
      </c>
    </row>
    <row r="191" spans="1:6" x14ac:dyDescent="0.2">
      <c r="A191" s="105" t="s">
        <v>763</v>
      </c>
      <c r="B191" s="105" t="s">
        <v>764</v>
      </c>
      <c r="C191" s="105" t="s">
        <v>1050</v>
      </c>
      <c r="D191" s="106">
        <v>2</v>
      </c>
      <c r="E191" s="106">
        <v>2</v>
      </c>
    </row>
    <row r="192" spans="1:6" x14ac:dyDescent="0.2">
      <c r="A192" s="105" t="s">
        <v>765</v>
      </c>
      <c r="B192" s="105" t="s">
        <v>766</v>
      </c>
      <c r="C192" s="105" t="s">
        <v>1051</v>
      </c>
      <c r="D192" s="106">
        <v>6</v>
      </c>
      <c r="E192" s="106">
        <v>6</v>
      </c>
    </row>
    <row r="193" spans="1:6" x14ac:dyDescent="0.2">
      <c r="A193" s="105" t="s">
        <v>1194</v>
      </c>
      <c r="B193" s="105" t="s">
        <v>1052</v>
      </c>
      <c r="C193" s="105" t="s">
        <v>1053</v>
      </c>
      <c r="D193" s="106">
        <v>6</v>
      </c>
      <c r="E193" s="106">
        <v>6</v>
      </c>
      <c r="F193" s="105"/>
    </row>
    <row r="194" spans="1:6" x14ac:dyDescent="0.2">
      <c r="A194" s="105" t="s">
        <v>145</v>
      </c>
      <c r="B194" s="105" t="s">
        <v>162</v>
      </c>
      <c r="C194" s="105" t="s">
        <v>1136</v>
      </c>
      <c r="D194" s="106" t="s">
        <v>218</v>
      </c>
      <c r="E194" s="106" t="s">
        <v>218</v>
      </c>
      <c r="F194" s="105"/>
    </row>
    <row r="195" spans="1:6" x14ac:dyDescent="0.2">
      <c r="A195" s="105" t="s">
        <v>388</v>
      </c>
      <c r="B195" s="105" t="s">
        <v>767</v>
      </c>
      <c r="C195" s="105" t="s">
        <v>1054</v>
      </c>
      <c r="D195" s="106">
        <v>7</v>
      </c>
      <c r="E195" s="106">
        <v>7</v>
      </c>
      <c r="F195" s="105"/>
    </row>
    <row r="196" spans="1:6" x14ac:dyDescent="0.2">
      <c r="A196" s="105" t="s">
        <v>768</v>
      </c>
      <c r="B196" s="105" t="s">
        <v>769</v>
      </c>
      <c r="C196" s="105" t="s">
        <v>1055</v>
      </c>
      <c r="D196" s="106">
        <v>7</v>
      </c>
      <c r="E196" s="106">
        <v>7</v>
      </c>
      <c r="F196" s="105"/>
    </row>
    <row r="197" spans="1:6" x14ac:dyDescent="0.2">
      <c r="A197" s="105" t="s">
        <v>770</v>
      </c>
      <c r="B197" s="105" t="s">
        <v>771</v>
      </c>
      <c r="C197" s="105" t="s">
        <v>1056</v>
      </c>
      <c r="D197" s="106">
        <v>0</v>
      </c>
      <c r="E197" s="106">
        <v>0</v>
      </c>
      <c r="F197" s="105"/>
    </row>
    <row r="198" spans="1:6" x14ac:dyDescent="0.2">
      <c r="A198" s="105" t="s">
        <v>1195</v>
      </c>
      <c r="B198" s="105" t="s">
        <v>1103</v>
      </c>
      <c r="C198" s="105" t="s">
        <v>1104</v>
      </c>
      <c r="D198" s="106" t="s">
        <v>218</v>
      </c>
      <c r="E198" s="106" t="s">
        <v>218</v>
      </c>
      <c r="F198" s="105"/>
    </row>
    <row r="199" spans="1:6" x14ac:dyDescent="0.2">
      <c r="A199" s="105" t="s">
        <v>772</v>
      </c>
      <c r="B199" s="105" t="s">
        <v>773</v>
      </c>
      <c r="C199" s="105" t="s">
        <v>1057</v>
      </c>
      <c r="D199" s="106" t="s">
        <v>1414</v>
      </c>
      <c r="E199" s="106" t="s">
        <v>1414</v>
      </c>
      <c r="F199" s="105"/>
    </row>
    <row r="200" spans="1:6" x14ac:dyDescent="0.2">
      <c r="A200" s="105" t="s">
        <v>774</v>
      </c>
      <c r="B200" s="105" t="s">
        <v>775</v>
      </c>
      <c r="C200" s="105" t="s">
        <v>1058</v>
      </c>
      <c r="D200" s="106" t="s">
        <v>1414</v>
      </c>
      <c r="E200" s="106" t="s">
        <v>1414</v>
      </c>
      <c r="F200" s="105"/>
    </row>
    <row r="201" spans="1:6" x14ac:dyDescent="0.2">
      <c r="A201" s="105" t="s">
        <v>776</v>
      </c>
      <c r="B201" s="105" t="s">
        <v>777</v>
      </c>
      <c r="C201" s="105" t="s">
        <v>1059</v>
      </c>
      <c r="D201" s="106" t="s">
        <v>218</v>
      </c>
      <c r="E201" s="106" t="s">
        <v>218</v>
      </c>
      <c r="F201" s="105"/>
    </row>
    <row r="202" spans="1:6" x14ac:dyDescent="0.2">
      <c r="A202" s="105" t="s">
        <v>85</v>
      </c>
      <c r="B202" s="105" t="s">
        <v>778</v>
      </c>
      <c r="C202" s="105" t="s">
        <v>1060</v>
      </c>
      <c r="D202" s="106">
        <v>7</v>
      </c>
      <c r="E202" s="106">
        <v>7</v>
      </c>
      <c r="F202" s="105"/>
    </row>
    <row r="203" spans="1:6" x14ac:dyDescent="0.2">
      <c r="A203" s="105" t="s">
        <v>779</v>
      </c>
      <c r="B203" s="105" t="s">
        <v>780</v>
      </c>
      <c r="C203" s="105" t="s">
        <v>1061</v>
      </c>
      <c r="D203" s="106">
        <v>3</v>
      </c>
      <c r="E203" s="106">
        <v>3</v>
      </c>
      <c r="F203" s="105"/>
    </row>
    <row r="204" spans="1:6" x14ac:dyDescent="0.2">
      <c r="A204" s="105" t="s">
        <v>81</v>
      </c>
      <c r="B204" s="105" t="s">
        <v>781</v>
      </c>
      <c r="C204" s="105" t="s">
        <v>1137</v>
      </c>
      <c r="D204" s="106" t="s">
        <v>218</v>
      </c>
      <c r="E204" s="106" t="s">
        <v>218</v>
      </c>
      <c r="F204" s="105"/>
    </row>
    <row r="205" spans="1:6" x14ac:dyDescent="0.2">
      <c r="A205" s="105" t="s">
        <v>1196</v>
      </c>
      <c r="B205" s="105" t="s">
        <v>1106</v>
      </c>
      <c r="C205" s="105" t="s">
        <v>1105</v>
      </c>
      <c r="D205" s="106">
        <v>7</v>
      </c>
      <c r="E205" s="106">
        <v>7</v>
      </c>
      <c r="F205" s="105"/>
    </row>
    <row r="206" spans="1:6" x14ac:dyDescent="0.2">
      <c r="A206" s="105" t="s">
        <v>782</v>
      </c>
      <c r="B206" s="105" t="s">
        <v>783</v>
      </c>
      <c r="C206" s="105" t="s">
        <v>1062</v>
      </c>
      <c r="D206" s="106" t="s">
        <v>1414</v>
      </c>
      <c r="E206" s="106" t="s">
        <v>1414</v>
      </c>
      <c r="F206" s="105"/>
    </row>
    <row r="207" spans="1:6" x14ac:dyDescent="0.2">
      <c r="A207" s="105" t="s">
        <v>784</v>
      </c>
      <c r="B207" s="105" t="s">
        <v>785</v>
      </c>
      <c r="C207" s="105" t="s">
        <v>1063</v>
      </c>
      <c r="D207" s="106">
        <v>6</v>
      </c>
      <c r="E207" s="106">
        <v>6</v>
      </c>
      <c r="F207" s="105"/>
    </row>
    <row r="208" spans="1:6" x14ac:dyDescent="0.2">
      <c r="A208" s="105" t="s">
        <v>751</v>
      </c>
      <c r="B208" s="105" t="s">
        <v>752</v>
      </c>
      <c r="C208" s="105" t="s">
        <v>1107</v>
      </c>
      <c r="D208" s="106" t="s">
        <v>218</v>
      </c>
      <c r="E208" s="106" t="s">
        <v>218</v>
      </c>
      <c r="F208" s="105"/>
    </row>
    <row r="209" spans="1:6" x14ac:dyDescent="0.2">
      <c r="A209" s="105" t="s">
        <v>753</v>
      </c>
      <c r="B209" s="105" t="s">
        <v>754</v>
      </c>
      <c r="C209" s="105" t="s">
        <v>1108</v>
      </c>
      <c r="D209" s="106" t="s">
        <v>218</v>
      </c>
      <c r="E209" s="106" t="s">
        <v>218</v>
      </c>
      <c r="F209" s="105"/>
    </row>
    <row r="210" spans="1:6" x14ac:dyDescent="0.2">
      <c r="A210" s="105" t="s">
        <v>756</v>
      </c>
      <c r="B210" s="105" t="s">
        <v>757</v>
      </c>
      <c r="C210" s="105" t="s">
        <v>1109</v>
      </c>
      <c r="D210" s="106" t="s">
        <v>218</v>
      </c>
      <c r="E210" s="106" t="s">
        <v>218</v>
      </c>
      <c r="F210" s="105"/>
    </row>
    <row r="211" spans="1:6" x14ac:dyDescent="0.2">
      <c r="A211" s="105" t="s">
        <v>161</v>
      </c>
      <c r="B211" s="105" t="s">
        <v>786</v>
      </c>
      <c r="C211" s="105" t="s">
        <v>1064</v>
      </c>
      <c r="D211" s="106">
        <v>7</v>
      </c>
      <c r="E211" s="106">
        <v>7</v>
      </c>
      <c r="F211" s="105"/>
    </row>
    <row r="212" spans="1:6" x14ac:dyDescent="0.2">
      <c r="A212" s="105" t="s">
        <v>787</v>
      </c>
      <c r="B212" s="105" t="s">
        <v>788</v>
      </c>
      <c r="C212" s="105" t="s">
        <v>1065</v>
      </c>
      <c r="D212" s="106">
        <v>6</v>
      </c>
      <c r="E212" s="106">
        <v>6</v>
      </c>
      <c r="F212" s="105"/>
    </row>
    <row r="213" spans="1:6" x14ac:dyDescent="0.2">
      <c r="A213" s="105" t="s">
        <v>789</v>
      </c>
      <c r="B213" s="105" t="s">
        <v>790</v>
      </c>
      <c r="C213" s="105" t="s">
        <v>1138</v>
      </c>
      <c r="D213" s="106" t="s">
        <v>218</v>
      </c>
      <c r="E213" s="106" t="s">
        <v>218</v>
      </c>
      <c r="F213" s="105"/>
    </row>
    <row r="214" spans="1:6" x14ac:dyDescent="0.2">
      <c r="A214" s="105" t="s">
        <v>791</v>
      </c>
      <c r="B214" s="105" t="s">
        <v>792</v>
      </c>
      <c r="C214" s="105" t="s">
        <v>1066</v>
      </c>
      <c r="D214" s="106">
        <v>6</v>
      </c>
      <c r="E214" s="106">
        <v>6</v>
      </c>
      <c r="F214" s="105"/>
    </row>
    <row r="215" spans="1:6" x14ac:dyDescent="0.2">
      <c r="A215" s="105" t="s">
        <v>793</v>
      </c>
      <c r="B215" s="105" t="s">
        <v>794</v>
      </c>
      <c r="C215" s="105" t="s">
        <v>1067</v>
      </c>
      <c r="D215" s="106" t="s">
        <v>1414</v>
      </c>
      <c r="E215" s="106" t="s">
        <v>1414</v>
      </c>
      <c r="F215" s="105"/>
    </row>
    <row r="216" spans="1:6" x14ac:dyDescent="0.2">
      <c r="A216" s="105" t="s">
        <v>795</v>
      </c>
      <c r="B216" s="105" t="s">
        <v>125</v>
      </c>
      <c r="C216" s="105" t="s">
        <v>1068</v>
      </c>
      <c r="D216" s="106" t="s">
        <v>1414</v>
      </c>
      <c r="E216" s="106" t="s">
        <v>1414</v>
      </c>
      <c r="F216" s="105"/>
    </row>
    <row r="217" spans="1:6" x14ac:dyDescent="0.2">
      <c r="A217" s="105" t="s">
        <v>796</v>
      </c>
      <c r="B217" s="105" t="s">
        <v>797</v>
      </c>
      <c r="C217" s="105" t="s">
        <v>1069</v>
      </c>
      <c r="D217" s="106">
        <v>7</v>
      </c>
      <c r="E217" s="106">
        <v>7</v>
      </c>
      <c r="F217" s="105"/>
    </row>
    <row r="218" spans="1:6" x14ac:dyDescent="0.2">
      <c r="A218" s="105" t="s">
        <v>800</v>
      </c>
      <c r="B218" s="105" t="s">
        <v>801</v>
      </c>
      <c r="C218" s="105" t="s">
        <v>1070</v>
      </c>
      <c r="D218" s="106">
        <v>7</v>
      </c>
      <c r="E218" s="106">
        <v>7</v>
      </c>
      <c r="F218" s="105"/>
    </row>
    <row r="219" spans="1:6" x14ac:dyDescent="0.2">
      <c r="A219" s="105" t="s">
        <v>802</v>
      </c>
      <c r="B219" s="105" t="s">
        <v>164</v>
      </c>
      <c r="C219" s="105" t="s">
        <v>1071</v>
      </c>
      <c r="D219" s="106">
        <v>6</v>
      </c>
      <c r="E219" s="106">
        <v>6</v>
      </c>
      <c r="F219" s="105"/>
    </row>
    <row r="220" spans="1:6" x14ac:dyDescent="0.2">
      <c r="A220" s="105" t="s">
        <v>803</v>
      </c>
      <c r="B220" s="105" t="s">
        <v>804</v>
      </c>
      <c r="C220" s="105" t="s">
        <v>1072</v>
      </c>
      <c r="D220" s="106">
        <v>3</v>
      </c>
      <c r="E220" s="106">
        <v>3</v>
      </c>
      <c r="F220" s="105"/>
    </row>
    <row r="221" spans="1:6" x14ac:dyDescent="0.2">
      <c r="A221" s="105" t="s">
        <v>805</v>
      </c>
      <c r="B221" s="105" t="s">
        <v>806</v>
      </c>
      <c r="C221" s="105" t="s">
        <v>1073</v>
      </c>
      <c r="D221" s="106">
        <v>6</v>
      </c>
      <c r="E221" s="106">
        <v>6</v>
      </c>
      <c r="F221" s="105"/>
    </row>
    <row r="222" spans="1:6" x14ac:dyDescent="0.2">
      <c r="A222" s="105" t="s">
        <v>807</v>
      </c>
      <c r="B222" s="105" t="s">
        <v>808</v>
      </c>
      <c r="C222" s="105" t="s">
        <v>1074</v>
      </c>
      <c r="D222" s="106">
        <v>7</v>
      </c>
      <c r="E222" s="106">
        <v>7</v>
      </c>
      <c r="F222" s="105"/>
    </row>
    <row r="223" spans="1:6" x14ac:dyDescent="0.2">
      <c r="A223" s="105" t="s">
        <v>809</v>
      </c>
      <c r="B223" s="105" t="s">
        <v>810</v>
      </c>
      <c r="C223" s="105" t="s">
        <v>1139</v>
      </c>
      <c r="D223" s="106" t="s">
        <v>218</v>
      </c>
      <c r="E223" s="106" t="s">
        <v>218</v>
      </c>
      <c r="F223" s="105"/>
    </row>
    <row r="224" spans="1:6" x14ac:dyDescent="0.2">
      <c r="A224" s="105" t="s">
        <v>811</v>
      </c>
      <c r="B224" s="105" t="s">
        <v>812</v>
      </c>
      <c r="C224" s="105" t="s">
        <v>1075</v>
      </c>
      <c r="D224" s="106" t="s">
        <v>218</v>
      </c>
      <c r="E224" s="106" t="s">
        <v>218</v>
      </c>
      <c r="F224" s="105"/>
    </row>
    <row r="225" spans="1:6" x14ac:dyDescent="0.2">
      <c r="A225" s="105" t="s">
        <v>813</v>
      </c>
      <c r="B225" s="105" t="s">
        <v>814</v>
      </c>
      <c r="C225" s="105" t="s">
        <v>1076</v>
      </c>
      <c r="D225" s="106">
        <v>2</v>
      </c>
      <c r="E225" s="106">
        <v>2</v>
      </c>
    </row>
    <row r="226" spans="1:6" x14ac:dyDescent="0.2">
      <c r="A226" s="105" t="s">
        <v>815</v>
      </c>
      <c r="B226" s="105" t="s">
        <v>816</v>
      </c>
      <c r="C226" s="105" t="s">
        <v>1077</v>
      </c>
      <c r="D226" s="106">
        <v>3</v>
      </c>
      <c r="E226" s="106">
        <v>4</v>
      </c>
    </row>
    <row r="227" spans="1:6" x14ac:dyDescent="0.2">
      <c r="A227" s="105" t="s">
        <v>817</v>
      </c>
      <c r="B227" s="105" t="s">
        <v>818</v>
      </c>
      <c r="C227" s="105" t="s">
        <v>1078</v>
      </c>
      <c r="D227" s="106">
        <v>4</v>
      </c>
      <c r="E227" s="106">
        <v>4</v>
      </c>
    </row>
    <row r="228" spans="1:6" x14ac:dyDescent="0.2">
      <c r="A228" s="105" t="s">
        <v>819</v>
      </c>
      <c r="B228" s="105" t="s">
        <v>820</v>
      </c>
      <c r="C228" s="105" t="s">
        <v>1079</v>
      </c>
      <c r="D228" s="106">
        <v>6</v>
      </c>
      <c r="E228" s="106">
        <v>6</v>
      </c>
    </row>
    <row r="229" spans="1:6" x14ac:dyDescent="0.2">
      <c r="A229" s="105" t="s">
        <v>821</v>
      </c>
      <c r="B229" s="105" t="s">
        <v>822</v>
      </c>
      <c r="C229" s="105" t="s">
        <v>1140</v>
      </c>
      <c r="D229" s="106" t="s">
        <v>218</v>
      </c>
      <c r="E229" s="106" t="s">
        <v>218</v>
      </c>
    </row>
    <row r="230" spans="1:6" x14ac:dyDescent="0.2">
      <c r="A230" s="105" t="s">
        <v>823</v>
      </c>
      <c r="B230" s="105" t="s">
        <v>824</v>
      </c>
      <c r="C230" s="105" t="s">
        <v>1110</v>
      </c>
      <c r="D230" s="106" t="s">
        <v>218</v>
      </c>
      <c r="E230" s="106" t="s">
        <v>218</v>
      </c>
    </row>
    <row r="231" spans="1:6" x14ac:dyDescent="0.2">
      <c r="A231" s="105" t="s">
        <v>851</v>
      </c>
      <c r="B231" s="105" t="s">
        <v>852</v>
      </c>
      <c r="C231" s="105" t="s">
        <v>1080</v>
      </c>
      <c r="D231" s="106" t="s">
        <v>218</v>
      </c>
      <c r="E231" s="106" t="s">
        <v>218</v>
      </c>
    </row>
    <row r="232" spans="1:6" x14ac:dyDescent="0.2">
      <c r="A232" s="105" t="s">
        <v>825</v>
      </c>
      <c r="B232" s="105" t="s">
        <v>826</v>
      </c>
      <c r="C232" s="105" t="s">
        <v>1081</v>
      </c>
      <c r="D232" s="106">
        <v>6</v>
      </c>
      <c r="E232" s="106">
        <v>6</v>
      </c>
    </row>
    <row r="233" spans="1:6" x14ac:dyDescent="0.2">
      <c r="A233" s="105" t="s">
        <v>827</v>
      </c>
      <c r="B233" s="105" t="s">
        <v>828</v>
      </c>
      <c r="C233" s="105" t="s">
        <v>1082</v>
      </c>
      <c r="D233" s="106">
        <v>7</v>
      </c>
      <c r="E233" s="106">
        <v>7</v>
      </c>
      <c r="F233" s="107">
        <v>36556</v>
      </c>
    </row>
    <row r="234" spans="1:6" x14ac:dyDescent="0.2">
      <c r="A234" s="105" t="s">
        <v>829</v>
      </c>
      <c r="B234" s="105" t="s">
        <v>830</v>
      </c>
      <c r="C234" s="105" t="s">
        <v>1083</v>
      </c>
      <c r="D234" s="106">
        <v>2</v>
      </c>
      <c r="E234" s="106">
        <v>2</v>
      </c>
    </row>
    <row r="235" spans="1:6" x14ac:dyDescent="0.2">
      <c r="A235" s="105" t="s">
        <v>831</v>
      </c>
      <c r="B235" s="105" t="s">
        <v>832</v>
      </c>
      <c r="C235" s="105" t="s">
        <v>1084</v>
      </c>
      <c r="D235" s="106" t="s">
        <v>1414</v>
      </c>
      <c r="E235" s="106" t="s">
        <v>1414</v>
      </c>
    </row>
    <row r="236" spans="1:6" x14ac:dyDescent="0.2">
      <c r="A236" s="105" t="s">
        <v>833</v>
      </c>
      <c r="B236" s="105" t="s">
        <v>834</v>
      </c>
      <c r="C236" s="105" t="s">
        <v>1085</v>
      </c>
      <c r="D236" s="106" t="s">
        <v>1414</v>
      </c>
      <c r="E236" s="106" t="s">
        <v>1414</v>
      </c>
      <c r="F236" s="107"/>
    </row>
    <row r="237" spans="1:6" x14ac:dyDescent="0.2">
      <c r="A237" s="105" t="s">
        <v>835</v>
      </c>
      <c r="B237" s="105" t="s">
        <v>836</v>
      </c>
      <c r="C237" s="105" t="s">
        <v>1141</v>
      </c>
      <c r="D237" s="106" t="s">
        <v>218</v>
      </c>
      <c r="E237" s="106" t="s">
        <v>218</v>
      </c>
    </row>
    <row r="238" spans="1:6" x14ac:dyDescent="0.2">
      <c r="A238" s="105" t="s">
        <v>837</v>
      </c>
      <c r="B238" s="105" t="s">
        <v>838</v>
      </c>
      <c r="C238" s="105" t="s">
        <v>1086</v>
      </c>
      <c r="D238" s="106">
        <v>3</v>
      </c>
      <c r="E238" s="106">
        <v>3</v>
      </c>
      <c r="F238" s="107">
        <v>37772</v>
      </c>
    </row>
    <row r="239" spans="1:6" x14ac:dyDescent="0.2">
      <c r="A239" s="105" t="s">
        <v>839</v>
      </c>
      <c r="B239" s="105" t="s">
        <v>840</v>
      </c>
      <c r="C239" s="105" t="s">
        <v>1087</v>
      </c>
      <c r="D239" s="106">
        <v>6</v>
      </c>
      <c r="E239" s="106">
        <v>6</v>
      </c>
    </row>
    <row r="240" spans="1:6" x14ac:dyDescent="0.2">
      <c r="A240" s="105" t="s">
        <v>841</v>
      </c>
      <c r="B240" s="105" t="s">
        <v>842</v>
      </c>
      <c r="C240" s="105" t="s">
        <v>1088</v>
      </c>
      <c r="D240" s="106" t="s">
        <v>218</v>
      </c>
      <c r="E240" s="106" t="s">
        <v>218</v>
      </c>
    </row>
    <row r="241" spans="1:6" x14ac:dyDescent="0.2">
      <c r="A241" s="105" t="s">
        <v>843</v>
      </c>
      <c r="B241" s="105" t="s">
        <v>844</v>
      </c>
      <c r="C241" s="105" t="s">
        <v>1142</v>
      </c>
      <c r="D241" s="106" t="s">
        <v>218</v>
      </c>
      <c r="E241" s="106" t="s">
        <v>218</v>
      </c>
    </row>
    <row r="242" spans="1:6" x14ac:dyDescent="0.2">
      <c r="A242" s="105" t="s">
        <v>845</v>
      </c>
      <c r="B242" s="105" t="s">
        <v>846</v>
      </c>
      <c r="C242" s="105" t="s">
        <v>1089</v>
      </c>
      <c r="D242" s="106">
        <v>7</v>
      </c>
      <c r="E242" s="106">
        <v>7</v>
      </c>
      <c r="F242" s="107">
        <v>36007</v>
      </c>
    </row>
    <row r="243" spans="1:6" x14ac:dyDescent="0.2">
      <c r="A243" s="105" t="s">
        <v>847</v>
      </c>
      <c r="B243" s="105" t="s">
        <v>848</v>
      </c>
      <c r="C243" s="105" t="s">
        <v>1090</v>
      </c>
      <c r="D243" s="106">
        <v>5</v>
      </c>
      <c r="E243" s="106">
        <v>5</v>
      </c>
    </row>
    <row r="244" spans="1:6" x14ac:dyDescent="0.2">
      <c r="A244" s="105" t="s">
        <v>849</v>
      </c>
      <c r="B244" s="105" t="s">
        <v>850</v>
      </c>
      <c r="C244" s="105" t="s">
        <v>1112</v>
      </c>
      <c r="D244" s="106" t="s">
        <v>218</v>
      </c>
      <c r="E244" s="106" t="s">
        <v>218</v>
      </c>
    </row>
    <row r="245" spans="1:6" x14ac:dyDescent="0.2">
      <c r="A245" s="105" t="s">
        <v>853</v>
      </c>
      <c r="B245" s="105" t="s">
        <v>854</v>
      </c>
      <c r="C245" s="105" t="s">
        <v>1143</v>
      </c>
      <c r="D245" s="106" t="s">
        <v>218</v>
      </c>
      <c r="E245" s="106" t="s">
        <v>218</v>
      </c>
    </row>
    <row r="246" spans="1:6" x14ac:dyDescent="0.2">
      <c r="A246" s="105" t="s">
        <v>722</v>
      </c>
      <c r="B246" s="105" t="s">
        <v>723</v>
      </c>
      <c r="C246" s="105" t="s">
        <v>1111</v>
      </c>
      <c r="D246" s="106">
        <v>7</v>
      </c>
      <c r="E246" s="106">
        <v>7</v>
      </c>
    </row>
    <row r="247" spans="1:6" x14ac:dyDescent="0.2">
      <c r="A247" s="105" t="s">
        <v>855</v>
      </c>
      <c r="B247" s="105" t="s">
        <v>856</v>
      </c>
      <c r="C247" s="105" t="s">
        <v>1144</v>
      </c>
      <c r="D247" s="106" t="s">
        <v>218</v>
      </c>
      <c r="E247" s="106" t="s">
        <v>218</v>
      </c>
    </row>
    <row r="248" spans="1:6" x14ac:dyDescent="0.2">
      <c r="A248" s="105" t="s">
        <v>857</v>
      </c>
      <c r="B248" s="105" t="s">
        <v>858</v>
      </c>
      <c r="C248" s="105" t="s">
        <v>1091</v>
      </c>
      <c r="D248" s="106">
        <v>7</v>
      </c>
      <c r="E248" s="106">
        <v>7</v>
      </c>
    </row>
    <row r="249" spans="1:6" x14ac:dyDescent="0.2">
      <c r="A249" s="105" t="s">
        <v>859</v>
      </c>
      <c r="B249" s="105" t="s">
        <v>860</v>
      </c>
      <c r="C249" s="105" t="s">
        <v>1092</v>
      </c>
      <c r="D249" s="106">
        <v>5</v>
      </c>
      <c r="E249" s="106">
        <v>5</v>
      </c>
    </row>
    <row r="250" spans="1:6" x14ac:dyDescent="0.2">
      <c r="A250" s="105" t="s">
        <v>861</v>
      </c>
      <c r="B250" s="105" t="s">
        <v>862</v>
      </c>
      <c r="C250" s="105" t="s">
        <v>1093</v>
      </c>
      <c r="D250" s="106">
        <v>7</v>
      </c>
      <c r="E250" s="106">
        <v>7</v>
      </c>
    </row>
  </sheetData>
  <protectedRanges>
    <protectedRange sqref="I1" name="IR Bloom"/>
  </protectedRanges>
  <sortState ref="B5:F256">
    <sortCondition ref="C5:C256"/>
  </sortState>
  <hyperlinks>
    <hyperlink ref="I2" r:id="rId1"/>
    <hyperlink ref="I3" r:id="rId2"/>
  </hyperlinks>
  <pageMargins left="0.25" right="0.25" top="0.75" bottom="0.75" header="0.3" footer="0.3"/>
  <pageSetup paperSize="5" scale="33" fitToHeight="0"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sheetPr>
  <dimension ref="A1:A5"/>
  <sheetViews>
    <sheetView workbookViewId="0"/>
  </sheetViews>
  <sheetFormatPr defaultRowHeight="12.75" x14ac:dyDescent="0.2"/>
  <cols>
    <col min="1" max="1" width="28.85546875" style="19" bestFit="1" customWidth="1"/>
    <col min="2" max="16384" width="9.140625" style="19"/>
  </cols>
  <sheetData>
    <row r="1" spans="1:1" x14ac:dyDescent="0.2">
      <c r="A1" s="19" t="s">
        <v>1233</v>
      </c>
    </row>
    <row r="2" spans="1:1" x14ac:dyDescent="0.2">
      <c r="A2" s="19" t="s">
        <v>1234</v>
      </c>
    </row>
    <row r="3" spans="1:1" x14ac:dyDescent="0.2">
      <c r="A3" s="19" t="s">
        <v>1235</v>
      </c>
    </row>
    <row r="4" spans="1:1" x14ac:dyDescent="0.2">
      <c r="A4" s="19" t="s">
        <v>1236</v>
      </c>
    </row>
    <row r="5" spans="1:1" x14ac:dyDescent="0.2">
      <c r="A5" s="19" t="s">
        <v>1237</v>
      </c>
    </row>
  </sheetData>
  <sortState ref="A9:A41">
    <sortCondition ref="A9"/>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59999389629810485"/>
  </sheetPr>
  <dimension ref="A1:A15"/>
  <sheetViews>
    <sheetView zoomScaleNormal="100" workbookViewId="0"/>
  </sheetViews>
  <sheetFormatPr defaultRowHeight="12.75" x14ac:dyDescent="0.2"/>
  <cols>
    <col min="1" max="1" width="27.7109375" style="19" bestFit="1" customWidth="1"/>
    <col min="2" max="16384" width="9.140625" style="19"/>
  </cols>
  <sheetData>
    <row r="1" spans="1:1" x14ac:dyDescent="0.2">
      <c r="A1" s="19" t="s">
        <v>130</v>
      </c>
    </row>
    <row r="2" spans="1:1" x14ac:dyDescent="0.2">
      <c r="A2" s="19" t="s">
        <v>87</v>
      </c>
    </row>
    <row r="3" spans="1:1" x14ac:dyDescent="0.2">
      <c r="A3" s="19" t="s">
        <v>131</v>
      </c>
    </row>
    <row r="4" spans="1:1" x14ac:dyDescent="0.2">
      <c r="A4" s="19" t="s">
        <v>172</v>
      </c>
    </row>
    <row r="5" spans="1:1" x14ac:dyDescent="0.2">
      <c r="A5" s="19" t="s">
        <v>144</v>
      </c>
    </row>
    <row r="6" spans="1:1" x14ac:dyDescent="0.2">
      <c r="A6" s="19" t="s">
        <v>118</v>
      </c>
    </row>
    <row r="7" spans="1:1" x14ac:dyDescent="0.2">
      <c r="A7" s="19" t="s">
        <v>119</v>
      </c>
    </row>
    <row r="8" spans="1:1" x14ac:dyDescent="0.2">
      <c r="A8" s="19" t="s">
        <v>167</v>
      </c>
    </row>
    <row r="9" spans="1:1" x14ac:dyDescent="0.2">
      <c r="A9" s="19" t="s">
        <v>148</v>
      </c>
    </row>
    <row r="10" spans="1:1" x14ac:dyDescent="0.2">
      <c r="A10" s="19" t="s">
        <v>150</v>
      </c>
    </row>
    <row r="11" spans="1:1" x14ac:dyDescent="0.2">
      <c r="A11" s="19" t="s">
        <v>151</v>
      </c>
    </row>
    <row r="12" spans="1:1" x14ac:dyDescent="0.2">
      <c r="A12" s="19" t="s">
        <v>155</v>
      </c>
    </row>
    <row r="13" spans="1:1" x14ac:dyDescent="0.2">
      <c r="A13" s="19" t="s">
        <v>156</v>
      </c>
    </row>
    <row r="14" spans="1:1" x14ac:dyDescent="0.2">
      <c r="A14" s="19" t="s">
        <v>159</v>
      </c>
    </row>
    <row r="15" spans="1:1" x14ac:dyDescent="0.2">
      <c r="A15" s="19" t="s">
        <v>163</v>
      </c>
    </row>
  </sheetData>
  <sortState ref="A1:A8">
    <sortCondition ref="A1"/>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59999389629810485"/>
  </sheetPr>
  <dimension ref="A1:D3"/>
  <sheetViews>
    <sheetView workbookViewId="0"/>
  </sheetViews>
  <sheetFormatPr defaultRowHeight="12.75" x14ac:dyDescent="0.2"/>
  <cols>
    <col min="1" max="1" width="10.85546875" style="19" bestFit="1" customWidth="1"/>
    <col min="2" max="2" width="4" style="19" bestFit="1" customWidth="1"/>
    <col min="3" max="3" width="5.140625" style="19" bestFit="1" customWidth="1"/>
    <col min="4" max="4" width="3" style="19" bestFit="1" customWidth="1"/>
    <col min="5" max="16384" width="9.140625" style="19"/>
  </cols>
  <sheetData>
    <row r="1" spans="1:4" x14ac:dyDescent="0.2">
      <c r="A1" s="19" t="s">
        <v>316</v>
      </c>
      <c r="B1" s="19">
        <v>180</v>
      </c>
      <c r="C1" s="19" t="s">
        <v>317</v>
      </c>
      <c r="D1" s="19" t="s">
        <v>198</v>
      </c>
    </row>
    <row r="2" spans="1:4" x14ac:dyDescent="0.2">
      <c r="A2" s="19" t="s">
        <v>318</v>
      </c>
      <c r="B2" s="19">
        <v>720</v>
      </c>
      <c r="C2" s="19" t="s">
        <v>317</v>
      </c>
      <c r="D2" s="19" t="s">
        <v>201</v>
      </c>
    </row>
    <row r="3" spans="1:4" x14ac:dyDescent="0.2">
      <c r="A3" s="19" t="s">
        <v>319</v>
      </c>
      <c r="B3" s="19">
        <v>720</v>
      </c>
      <c r="C3" s="19" t="s">
        <v>317</v>
      </c>
      <c r="D3" s="19" t="s">
        <v>204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tint="0.59999389629810485"/>
  </sheetPr>
  <dimension ref="A1:C52"/>
  <sheetViews>
    <sheetView zoomScaleNormal="100" workbookViewId="0"/>
  </sheetViews>
  <sheetFormatPr defaultRowHeight="12.75" x14ac:dyDescent="0.2"/>
  <cols>
    <col min="1" max="1" width="18.42578125" style="19" bestFit="1" customWidth="1"/>
    <col min="2" max="2" width="34.140625" style="19" bestFit="1" customWidth="1"/>
    <col min="3" max="3" width="13.28515625" style="19" bestFit="1" customWidth="1"/>
    <col min="4" max="16384" width="9.140625" style="19"/>
  </cols>
  <sheetData>
    <row r="1" spans="1:3" x14ac:dyDescent="0.2">
      <c r="A1" s="23" t="s">
        <v>322</v>
      </c>
      <c r="B1" s="29" t="s">
        <v>323</v>
      </c>
      <c r="C1" s="29" t="s">
        <v>324</v>
      </c>
    </row>
    <row r="2" spans="1:3" x14ac:dyDescent="0.2">
      <c r="A2" s="23" t="s">
        <v>325</v>
      </c>
      <c r="B2" s="29" t="s">
        <v>326</v>
      </c>
      <c r="C2" s="29" t="s">
        <v>324</v>
      </c>
    </row>
    <row r="3" spans="1:3" x14ac:dyDescent="0.2">
      <c r="A3" s="23" t="s">
        <v>884</v>
      </c>
      <c r="B3" s="29" t="s">
        <v>327</v>
      </c>
      <c r="C3" s="29" t="s">
        <v>324</v>
      </c>
    </row>
    <row r="4" spans="1:3" x14ac:dyDescent="0.2">
      <c r="A4" s="23" t="s">
        <v>328</v>
      </c>
      <c r="B4" s="29" t="s">
        <v>329</v>
      </c>
      <c r="C4" s="29" t="s">
        <v>324</v>
      </c>
    </row>
    <row r="5" spans="1:3" x14ac:dyDescent="0.2">
      <c r="A5" s="23" t="s">
        <v>330</v>
      </c>
      <c r="B5" s="29" t="s">
        <v>331</v>
      </c>
      <c r="C5" s="29" t="s">
        <v>324</v>
      </c>
    </row>
    <row r="6" spans="1:3" x14ac:dyDescent="0.2">
      <c r="A6" s="23" t="s">
        <v>332</v>
      </c>
      <c r="B6" s="29" t="s">
        <v>333</v>
      </c>
      <c r="C6" s="29" t="s">
        <v>324</v>
      </c>
    </row>
    <row r="7" spans="1:3" x14ac:dyDescent="0.2">
      <c r="A7" s="23" t="s">
        <v>334</v>
      </c>
      <c r="B7" s="29" t="s">
        <v>335</v>
      </c>
      <c r="C7" s="29" t="s">
        <v>324</v>
      </c>
    </row>
    <row r="8" spans="1:3" x14ac:dyDescent="0.2">
      <c r="A8" s="23" t="s">
        <v>336</v>
      </c>
      <c r="B8" s="29" t="s">
        <v>337</v>
      </c>
      <c r="C8" s="29" t="s">
        <v>324</v>
      </c>
    </row>
    <row r="9" spans="1:3" x14ac:dyDescent="0.2">
      <c r="A9" s="23" t="s">
        <v>885</v>
      </c>
      <c r="B9" s="29" t="s">
        <v>338</v>
      </c>
      <c r="C9" s="29" t="s">
        <v>324</v>
      </c>
    </row>
    <row r="10" spans="1:3" x14ac:dyDescent="0.2">
      <c r="A10" s="23" t="s">
        <v>339</v>
      </c>
      <c r="B10" s="29" t="s">
        <v>340</v>
      </c>
      <c r="C10" s="29" t="s">
        <v>324</v>
      </c>
    </row>
    <row r="11" spans="1:3" x14ac:dyDescent="0.2">
      <c r="A11" s="23" t="s">
        <v>341</v>
      </c>
      <c r="B11" s="29" t="s">
        <v>342</v>
      </c>
      <c r="C11" s="29" t="s">
        <v>324</v>
      </c>
    </row>
    <row r="12" spans="1:3" x14ac:dyDescent="0.2">
      <c r="A12" s="23" t="s">
        <v>343</v>
      </c>
      <c r="B12" s="29" t="s">
        <v>344</v>
      </c>
      <c r="C12" s="29" t="s">
        <v>324</v>
      </c>
    </row>
    <row r="13" spans="1:3" x14ac:dyDescent="0.2">
      <c r="A13" s="23" t="s">
        <v>349</v>
      </c>
      <c r="B13" s="29" t="s">
        <v>350</v>
      </c>
      <c r="C13" s="29" t="s">
        <v>324</v>
      </c>
    </row>
    <row r="14" spans="1:3" x14ac:dyDescent="0.2">
      <c r="A14" s="23" t="s">
        <v>351</v>
      </c>
      <c r="B14" s="29" t="s">
        <v>352</v>
      </c>
      <c r="C14" s="29" t="s">
        <v>324</v>
      </c>
    </row>
    <row r="15" spans="1:3" x14ac:dyDescent="0.2">
      <c r="A15" s="23" t="s">
        <v>353</v>
      </c>
      <c r="B15" s="29" t="s">
        <v>354</v>
      </c>
      <c r="C15" s="29" t="s">
        <v>324</v>
      </c>
    </row>
    <row r="16" spans="1:3" x14ac:dyDescent="0.2">
      <c r="A16" s="23" t="s">
        <v>355</v>
      </c>
      <c r="B16" s="29" t="s">
        <v>356</v>
      </c>
      <c r="C16" s="29" t="s">
        <v>324</v>
      </c>
    </row>
    <row r="17" spans="1:3" x14ac:dyDescent="0.2">
      <c r="A17" s="23" t="s">
        <v>357</v>
      </c>
      <c r="B17" s="29" t="s">
        <v>358</v>
      </c>
      <c r="C17" s="29" t="s">
        <v>324</v>
      </c>
    </row>
    <row r="18" spans="1:3" x14ac:dyDescent="0.2">
      <c r="A18" s="23" t="s">
        <v>359</v>
      </c>
      <c r="B18" s="29" t="s">
        <v>360</v>
      </c>
      <c r="C18" s="29" t="s">
        <v>324</v>
      </c>
    </row>
    <row r="19" spans="1:3" x14ac:dyDescent="0.2">
      <c r="A19" s="23" t="s">
        <v>361</v>
      </c>
      <c r="B19" s="29" t="s">
        <v>362</v>
      </c>
      <c r="C19" s="29" t="s">
        <v>324</v>
      </c>
    </row>
    <row r="20" spans="1:3" x14ac:dyDescent="0.2">
      <c r="A20" s="23" t="s">
        <v>363</v>
      </c>
      <c r="B20" s="29" t="s">
        <v>364</v>
      </c>
      <c r="C20" s="29" t="s">
        <v>324</v>
      </c>
    </row>
    <row r="21" spans="1:3" x14ac:dyDescent="0.2">
      <c r="A21" s="23" t="s">
        <v>365</v>
      </c>
      <c r="B21" s="29" t="s">
        <v>366</v>
      </c>
      <c r="C21" s="29" t="s">
        <v>324</v>
      </c>
    </row>
    <row r="22" spans="1:3" x14ac:dyDescent="0.2">
      <c r="A22" s="23" t="s">
        <v>367</v>
      </c>
      <c r="B22" s="29" t="s">
        <v>368</v>
      </c>
      <c r="C22" s="29" t="s">
        <v>324</v>
      </c>
    </row>
    <row r="23" spans="1:3" x14ac:dyDescent="0.2">
      <c r="A23" s="23" t="s">
        <v>369</v>
      </c>
      <c r="B23" s="29" t="s">
        <v>370</v>
      </c>
      <c r="C23" s="29" t="s">
        <v>324</v>
      </c>
    </row>
    <row r="24" spans="1:3" x14ac:dyDescent="0.2">
      <c r="A24" s="23" t="s">
        <v>886</v>
      </c>
      <c r="B24" s="29" t="s">
        <v>371</v>
      </c>
      <c r="C24" s="29" t="s">
        <v>324</v>
      </c>
    </row>
    <row r="25" spans="1:3" x14ac:dyDescent="0.2">
      <c r="A25" s="23" t="s">
        <v>372</v>
      </c>
      <c r="B25" s="29" t="s">
        <v>373</v>
      </c>
      <c r="C25" s="29" t="s">
        <v>324</v>
      </c>
    </row>
    <row r="26" spans="1:3" x14ac:dyDescent="0.2">
      <c r="A26" s="23" t="s">
        <v>376</v>
      </c>
      <c r="B26" s="29" t="s">
        <v>377</v>
      </c>
      <c r="C26" s="29" t="s">
        <v>324</v>
      </c>
    </row>
    <row r="27" spans="1:3" x14ac:dyDescent="0.2">
      <c r="A27" s="23" t="s">
        <v>378</v>
      </c>
      <c r="B27" s="29" t="s">
        <v>379</v>
      </c>
      <c r="C27" s="29" t="s">
        <v>324</v>
      </c>
    </row>
    <row r="28" spans="1:3" x14ac:dyDescent="0.2">
      <c r="A28" s="23" t="s">
        <v>382</v>
      </c>
      <c r="B28" s="29" t="s">
        <v>383</v>
      </c>
      <c r="C28" s="29" t="s">
        <v>324</v>
      </c>
    </row>
    <row r="29" spans="1:3" x14ac:dyDescent="0.2">
      <c r="A29" s="23" t="s">
        <v>384</v>
      </c>
      <c r="B29" s="29" t="s">
        <v>385</v>
      </c>
      <c r="C29" s="29" t="s">
        <v>324</v>
      </c>
    </row>
    <row r="30" spans="1:3" x14ac:dyDescent="0.2">
      <c r="A30" s="23" t="s">
        <v>386</v>
      </c>
      <c r="B30" s="29" t="s">
        <v>387</v>
      </c>
      <c r="C30" s="29" t="s">
        <v>324</v>
      </c>
    </row>
    <row r="31" spans="1:3" x14ac:dyDescent="0.2">
      <c r="A31" s="23" t="s">
        <v>388</v>
      </c>
      <c r="B31" s="29" t="s">
        <v>389</v>
      </c>
      <c r="C31" s="29" t="s">
        <v>324</v>
      </c>
    </row>
    <row r="32" spans="1:3" x14ac:dyDescent="0.2">
      <c r="A32" s="23" t="s">
        <v>110</v>
      </c>
      <c r="B32" s="29" t="s">
        <v>390</v>
      </c>
      <c r="C32" s="29" t="s">
        <v>324</v>
      </c>
    </row>
    <row r="33" spans="1:3" x14ac:dyDescent="0.2">
      <c r="A33" s="23" t="s">
        <v>391</v>
      </c>
      <c r="B33" s="29" t="s">
        <v>392</v>
      </c>
      <c r="C33" s="29" t="s">
        <v>324</v>
      </c>
    </row>
    <row r="34" spans="1:3" x14ac:dyDescent="0.2">
      <c r="A34" s="23" t="s">
        <v>393</v>
      </c>
      <c r="B34" s="29" t="s">
        <v>394</v>
      </c>
      <c r="C34" s="29" t="s">
        <v>324</v>
      </c>
    </row>
    <row r="35" spans="1:3" x14ac:dyDescent="0.2">
      <c r="A35" s="23" t="s">
        <v>395</v>
      </c>
      <c r="B35" s="29" t="s">
        <v>396</v>
      </c>
      <c r="C35" s="29" t="s">
        <v>324</v>
      </c>
    </row>
    <row r="36" spans="1:3" x14ac:dyDescent="0.2">
      <c r="A36" s="23" t="s">
        <v>397</v>
      </c>
      <c r="B36" s="29" t="s">
        <v>398</v>
      </c>
      <c r="C36" s="29" t="s">
        <v>324</v>
      </c>
    </row>
    <row r="37" spans="1:3" x14ac:dyDescent="0.2">
      <c r="A37" s="23" t="s">
        <v>401</v>
      </c>
      <c r="B37" s="29" t="s">
        <v>402</v>
      </c>
      <c r="C37" s="29" t="s">
        <v>324</v>
      </c>
    </row>
    <row r="38" spans="1:3" x14ac:dyDescent="0.2">
      <c r="A38" s="23" t="s">
        <v>94</v>
      </c>
      <c r="B38" s="29" t="s">
        <v>402</v>
      </c>
      <c r="C38" s="29" t="s">
        <v>324</v>
      </c>
    </row>
    <row r="39" spans="1:3" x14ac:dyDescent="0.2">
      <c r="A39" s="23" t="s">
        <v>403</v>
      </c>
      <c r="B39" s="29" t="s">
        <v>404</v>
      </c>
      <c r="C39" s="29" t="s">
        <v>324</v>
      </c>
    </row>
    <row r="40" spans="1:3" x14ac:dyDescent="0.2">
      <c r="A40" s="23" t="s">
        <v>405</v>
      </c>
      <c r="B40" s="29" t="s">
        <v>406</v>
      </c>
      <c r="C40" s="29" t="s">
        <v>324</v>
      </c>
    </row>
    <row r="41" spans="1:3" x14ac:dyDescent="0.2">
      <c r="A41" s="23" t="s">
        <v>407</v>
      </c>
      <c r="B41" s="29" t="s">
        <v>408</v>
      </c>
      <c r="C41" s="29" t="s">
        <v>324</v>
      </c>
    </row>
    <row r="42" spans="1:3" x14ac:dyDescent="0.2">
      <c r="A42" s="23" t="s">
        <v>409</v>
      </c>
      <c r="B42" s="29" t="s">
        <v>410</v>
      </c>
      <c r="C42" s="29" t="s">
        <v>324</v>
      </c>
    </row>
    <row r="43" spans="1:3" x14ac:dyDescent="0.2">
      <c r="A43" s="23" t="s">
        <v>411</v>
      </c>
      <c r="B43" s="29" t="s">
        <v>412</v>
      </c>
      <c r="C43" s="29" t="s">
        <v>324</v>
      </c>
    </row>
    <row r="44" spans="1:3" x14ac:dyDescent="0.2">
      <c r="A44" s="23" t="s">
        <v>413</v>
      </c>
      <c r="B44" s="29" t="s">
        <v>414</v>
      </c>
      <c r="C44" s="29" t="s">
        <v>324</v>
      </c>
    </row>
    <row r="45" spans="1:3" x14ac:dyDescent="0.2">
      <c r="A45" s="23" t="s">
        <v>415</v>
      </c>
      <c r="B45" s="29" t="s">
        <v>416</v>
      </c>
      <c r="C45" s="29" t="s">
        <v>324</v>
      </c>
    </row>
    <row r="46" spans="1:3" x14ac:dyDescent="0.2">
      <c r="A46" s="23" t="s">
        <v>417</v>
      </c>
      <c r="B46" s="29" t="s">
        <v>418</v>
      </c>
      <c r="C46" s="29" t="s">
        <v>324</v>
      </c>
    </row>
    <row r="47" spans="1:3" x14ac:dyDescent="0.2">
      <c r="A47" s="23" t="s">
        <v>345</v>
      </c>
      <c r="B47" s="29" t="s">
        <v>346</v>
      </c>
      <c r="C47" s="29" t="s">
        <v>347</v>
      </c>
    </row>
    <row r="48" spans="1:3" x14ac:dyDescent="0.2">
      <c r="A48" s="23" t="s">
        <v>348</v>
      </c>
      <c r="B48" s="29" t="s">
        <v>346</v>
      </c>
      <c r="C48" s="29" t="s">
        <v>347</v>
      </c>
    </row>
    <row r="49" spans="1:3" x14ac:dyDescent="0.2">
      <c r="A49" s="23" t="s">
        <v>374</v>
      </c>
      <c r="B49" s="29" t="s">
        <v>375</v>
      </c>
      <c r="C49" s="29" t="s">
        <v>347</v>
      </c>
    </row>
    <row r="50" spans="1:3" x14ac:dyDescent="0.2">
      <c r="A50" s="23" t="s">
        <v>380</v>
      </c>
      <c r="B50" s="29" t="s">
        <v>381</v>
      </c>
      <c r="C50" s="29" t="s">
        <v>347</v>
      </c>
    </row>
    <row r="51" spans="1:3" x14ac:dyDescent="0.2">
      <c r="A51" s="23" t="s">
        <v>399</v>
      </c>
      <c r="B51" s="29" t="s">
        <v>400</v>
      </c>
      <c r="C51" s="29" t="s">
        <v>347</v>
      </c>
    </row>
    <row r="52" spans="1:3" x14ac:dyDescent="0.2">
      <c r="A52" s="19" t="s">
        <v>1200</v>
      </c>
      <c r="C52" s="19" t="s">
        <v>1201</v>
      </c>
    </row>
  </sheetData>
  <sortState ref="A1:C51">
    <sortCondition descending="1" ref="C1:C51"/>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D2"/>
  <sheetViews>
    <sheetView workbookViewId="0"/>
  </sheetViews>
  <sheetFormatPr defaultRowHeight="12.75" x14ac:dyDescent="0.2"/>
  <cols>
    <col min="1" max="1" width="22.5703125" style="19" bestFit="1" customWidth="1"/>
    <col min="2" max="2" width="4.7109375" style="19" customWidth="1"/>
    <col min="3" max="3" width="9.140625" style="19"/>
    <col min="4" max="4" width="4.28515625" style="19" bestFit="1" customWidth="1"/>
    <col min="5" max="16384" width="9.140625" style="19"/>
  </cols>
  <sheetData>
    <row r="1" spans="1:4" x14ac:dyDescent="0.2">
      <c r="A1" s="19" t="s">
        <v>320</v>
      </c>
      <c r="B1" s="19">
        <v>0</v>
      </c>
      <c r="D1" s="19" t="s">
        <v>225</v>
      </c>
    </row>
    <row r="2" spans="1:4" x14ac:dyDescent="0.2">
      <c r="A2" s="19" t="s">
        <v>321</v>
      </c>
      <c r="B2" s="19">
        <v>0</v>
      </c>
      <c r="D2" s="19" t="s">
        <v>228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D2"/>
  <sheetViews>
    <sheetView workbookViewId="0">
      <selection activeCell="B1" sqref="B1"/>
    </sheetView>
  </sheetViews>
  <sheetFormatPr defaultRowHeight="12.75" x14ac:dyDescent="0.2"/>
  <cols>
    <col min="1" max="1" width="10.85546875" style="19" bestFit="1" customWidth="1"/>
    <col min="2" max="2" width="5" style="19" bestFit="1" customWidth="1"/>
    <col min="3" max="3" width="9.140625" style="19"/>
    <col min="4" max="4" width="4.28515625" style="19" bestFit="1" customWidth="1"/>
    <col min="5" max="16384" width="9.140625" style="19"/>
  </cols>
  <sheetData>
    <row r="1" spans="1:4" x14ac:dyDescent="0.2">
      <c r="A1" s="19" t="s">
        <v>316</v>
      </c>
      <c r="B1" s="19">
        <v>0.1</v>
      </c>
      <c r="D1" s="19" t="s">
        <v>209</v>
      </c>
    </row>
    <row r="2" spans="1:4" x14ac:dyDescent="0.2">
      <c r="A2" s="19" t="s">
        <v>319</v>
      </c>
      <c r="B2" s="19">
        <v>0.1</v>
      </c>
      <c r="D2" s="1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3" tint="0.59999389629810485"/>
  </sheetPr>
  <dimension ref="A1:E39"/>
  <sheetViews>
    <sheetView workbookViewId="0"/>
  </sheetViews>
  <sheetFormatPr defaultRowHeight="12.75" x14ac:dyDescent="0.2"/>
  <cols>
    <col min="1" max="1" width="13.42578125" style="19" bestFit="1" customWidth="1"/>
    <col min="2" max="2" width="19.5703125" style="19" bestFit="1" customWidth="1"/>
    <col min="3" max="3" width="4.85546875" style="19" customWidth="1"/>
    <col min="4" max="4" width="13.42578125" style="19" bestFit="1" customWidth="1"/>
    <col min="5" max="5" width="19.5703125" style="19" bestFit="1" customWidth="1"/>
    <col min="6" max="16384" width="9.140625" style="19"/>
  </cols>
  <sheetData>
    <row r="1" spans="1:5" x14ac:dyDescent="0.2">
      <c r="A1" s="18" t="s">
        <v>863</v>
      </c>
      <c r="D1" s="18" t="s">
        <v>864</v>
      </c>
    </row>
    <row r="2" spans="1:5" x14ac:dyDescent="0.2">
      <c r="A2" s="19" t="s">
        <v>97</v>
      </c>
      <c r="B2" s="19" t="s">
        <v>294</v>
      </c>
      <c r="D2" s="19" t="s">
        <v>98</v>
      </c>
      <c r="E2" s="19" t="s">
        <v>294</v>
      </c>
    </row>
    <row r="3" spans="1:5" x14ac:dyDescent="0.2">
      <c r="A3" s="19" t="s">
        <v>122</v>
      </c>
      <c r="B3" s="19" t="s">
        <v>294</v>
      </c>
      <c r="D3" s="19" t="s">
        <v>103</v>
      </c>
      <c r="E3" s="19" t="s">
        <v>294</v>
      </c>
    </row>
    <row r="4" spans="1:5" x14ac:dyDescent="0.2">
      <c r="A4" s="19" t="s">
        <v>105</v>
      </c>
      <c r="B4" s="19" t="s">
        <v>294</v>
      </c>
      <c r="D4" s="19" t="s">
        <v>78</v>
      </c>
      <c r="E4" s="19" t="s">
        <v>294</v>
      </c>
    </row>
    <row r="5" spans="1:5" x14ac:dyDescent="0.2">
      <c r="A5" s="19" t="s">
        <v>99</v>
      </c>
      <c r="B5" s="19" t="s">
        <v>294</v>
      </c>
      <c r="D5" s="19" t="s">
        <v>100</v>
      </c>
      <c r="E5" s="19" t="s">
        <v>294</v>
      </c>
    </row>
    <row r="6" spans="1:5" x14ac:dyDescent="0.2">
      <c r="A6" s="19" t="s">
        <v>121</v>
      </c>
      <c r="B6" s="19" t="s">
        <v>294</v>
      </c>
      <c r="D6" s="19" t="s">
        <v>107</v>
      </c>
      <c r="E6" s="19" t="s">
        <v>294</v>
      </c>
    </row>
    <row r="7" spans="1:5" x14ac:dyDescent="0.2">
      <c r="A7" s="19" t="s">
        <v>120</v>
      </c>
      <c r="B7" s="19" t="s">
        <v>294</v>
      </c>
      <c r="D7" s="19" t="s">
        <v>104</v>
      </c>
      <c r="E7" s="19" t="s">
        <v>294</v>
      </c>
    </row>
    <row r="8" spans="1:5" x14ac:dyDescent="0.2">
      <c r="A8" s="19" t="s">
        <v>123</v>
      </c>
      <c r="B8" s="19" t="s">
        <v>294</v>
      </c>
      <c r="D8" s="19" t="s">
        <v>124</v>
      </c>
      <c r="E8" s="19" t="s">
        <v>294</v>
      </c>
    </row>
    <row r="9" spans="1:5" x14ac:dyDescent="0.2">
      <c r="A9" s="19" t="s">
        <v>108</v>
      </c>
      <c r="B9" s="19" t="s">
        <v>294</v>
      </c>
      <c r="D9" s="19" t="s">
        <v>129</v>
      </c>
      <c r="E9" s="19" t="s">
        <v>294</v>
      </c>
    </row>
    <row r="10" spans="1:5" x14ac:dyDescent="0.2">
      <c r="A10" s="19" t="s">
        <v>95</v>
      </c>
      <c r="B10" s="19" t="s">
        <v>294</v>
      </c>
      <c r="D10" s="19" t="s">
        <v>96</v>
      </c>
      <c r="E10" s="19" t="s">
        <v>294</v>
      </c>
    </row>
    <row r="11" spans="1:5" x14ac:dyDescent="0.2">
      <c r="A11" s="19" t="s">
        <v>101</v>
      </c>
      <c r="B11" s="19" t="s">
        <v>294</v>
      </c>
      <c r="D11" s="19" t="s">
        <v>102</v>
      </c>
      <c r="E11" s="19" t="s">
        <v>294</v>
      </c>
    </row>
    <row r="12" spans="1:5" x14ac:dyDescent="0.2">
      <c r="A12" s="19" t="s">
        <v>115</v>
      </c>
      <c r="B12" s="19" t="s">
        <v>294</v>
      </c>
      <c r="D12" s="19" t="s">
        <v>117</v>
      </c>
      <c r="E12" s="19" t="s">
        <v>294</v>
      </c>
    </row>
    <row r="13" spans="1:5" x14ac:dyDescent="0.2">
      <c r="A13" s="19" t="s">
        <v>865</v>
      </c>
      <c r="B13" s="19" t="s">
        <v>294</v>
      </c>
      <c r="D13" s="19" t="s">
        <v>116</v>
      </c>
      <c r="E13" s="19" t="s">
        <v>294</v>
      </c>
    </row>
    <row r="14" spans="1:5" x14ac:dyDescent="0.2">
      <c r="A14" s="19" t="s">
        <v>866</v>
      </c>
      <c r="B14" s="19" t="s">
        <v>294</v>
      </c>
      <c r="D14" s="19" t="s">
        <v>867</v>
      </c>
      <c r="E14" s="19" t="s">
        <v>294</v>
      </c>
    </row>
    <row r="15" spans="1:5" x14ac:dyDescent="0.2">
      <c r="A15" s="19" t="s">
        <v>868</v>
      </c>
      <c r="B15" s="19" t="s">
        <v>294</v>
      </c>
      <c r="D15" s="19" t="s">
        <v>869</v>
      </c>
      <c r="E15" s="19" t="s">
        <v>294</v>
      </c>
    </row>
    <row r="16" spans="1:5" x14ac:dyDescent="0.2">
      <c r="A16" s="19" t="s">
        <v>870</v>
      </c>
      <c r="B16" s="19" t="s">
        <v>294</v>
      </c>
      <c r="D16" s="19" t="s">
        <v>871</v>
      </c>
      <c r="E16" s="19" t="s">
        <v>294</v>
      </c>
    </row>
    <row r="17" spans="1:5" x14ac:dyDescent="0.2">
      <c r="A17" s="19" t="s">
        <v>872</v>
      </c>
      <c r="B17" s="19" t="s">
        <v>294</v>
      </c>
      <c r="D17" s="19" t="s">
        <v>873</v>
      </c>
      <c r="E17" s="19" t="s">
        <v>294</v>
      </c>
    </row>
    <row r="18" spans="1:5" x14ac:dyDescent="0.2">
      <c r="A18" s="19" t="s">
        <v>874</v>
      </c>
      <c r="B18" s="19" t="s">
        <v>294</v>
      </c>
      <c r="D18" s="19" t="s">
        <v>875</v>
      </c>
      <c r="E18" s="19" t="s">
        <v>294</v>
      </c>
    </row>
    <row r="19" spans="1:5" x14ac:dyDescent="0.2">
      <c r="A19" s="19" t="s">
        <v>133</v>
      </c>
      <c r="B19" s="19" t="s">
        <v>876</v>
      </c>
      <c r="D19" s="19" t="s">
        <v>877</v>
      </c>
      <c r="E19" s="19" t="s">
        <v>294</v>
      </c>
    </row>
    <row r="20" spans="1:5" x14ac:dyDescent="0.2">
      <c r="A20" s="19" t="s">
        <v>135</v>
      </c>
      <c r="B20" s="19" t="s">
        <v>876</v>
      </c>
      <c r="D20" s="19" t="s">
        <v>878</v>
      </c>
      <c r="E20" s="19" t="s">
        <v>294</v>
      </c>
    </row>
    <row r="21" spans="1:5" x14ac:dyDescent="0.2">
      <c r="A21" s="19" t="s">
        <v>126</v>
      </c>
      <c r="B21" s="19" t="s">
        <v>876</v>
      </c>
      <c r="D21" s="19" t="s">
        <v>879</v>
      </c>
      <c r="E21" s="19" t="s">
        <v>294</v>
      </c>
    </row>
    <row r="22" spans="1:5" x14ac:dyDescent="0.2">
      <c r="A22" s="19" t="s">
        <v>138</v>
      </c>
      <c r="B22" s="19" t="s">
        <v>876</v>
      </c>
      <c r="D22" s="19" t="s">
        <v>134</v>
      </c>
      <c r="E22" s="19" t="s">
        <v>876</v>
      </c>
    </row>
    <row r="23" spans="1:5" x14ac:dyDescent="0.2">
      <c r="A23" s="19" t="s">
        <v>111</v>
      </c>
      <c r="B23" s="19" t="s">
        <v>876</v>
      </c>
      <c r="D23" s="19" t="s">
        <v>132</v>
      </c>
      <c r="E23" s="19" t="s">
        <v>876</v>
      </c>
    </row>
    <row r="24" spans="1:5" x14ac:dyDescent="0.2">
      <c r="A24" s="19" t="s">
        <v>128</v>
      </c>
      <c r="B24" s="19" t="s">
        <v>876</v>
      </c>
      <c r="D24" s="19" t="s">
        <v>127</v>
      </c>
      <c r="E24" s="19" t="s">
        <v>876</v>
      </c>
    </row>
    <row r="25" spans="1:5" x14ac:dyDescent="0.2">
      <c r="A25" s="19" t="s">
        <v>114</v>
      </c>
      <c r="B25" s="19" t="s">
        <v>876</v>
      </c>
      <c r="D25" s="19" t="s">
        <v>112</v>
      </c>
      <c r="E25" s="19" t="s">
        <v>876</v>
      </c>
    </row>
    <row r="26" spans="1:5" x14ac:dyDescent="0.2">
      <c r="A26" s="19" t="s">
        <v>160</v>
      </c>
      <c r="B26" s="19" t="s">
        <v>876</v>
      </c>
      <c r="D26" s="19" t="s">
        <v>77</v>
      </c>
      <c r="E26" s="19" t="s">
        <v>876</v>
      </c>
    </row>
    <row r="27" spans="1:5" x14ac:dyDescent="0.2">
      <c r="A27" s="19" t="s">
        <v>154</v>
      </c>
      <c r="B27" s="19" t="s">
        <v>876</v>
      </c>
      <c r="D27" s="19" t="s">
        <v>113</v>
      </c>
      <c r="E27" s="19" t="s">
        <v>876</v>
      </c>
    </row>
    <row r="28" spans="1:5" x14ac:dyDescent="0.2">
      <c r="A28" s="19" t="s">
        <v>140</v>
      </c>
      <c r="B28" s="19" t="s">
        <v>876</v>
      </c>
      <c r="D28" s="19" t="s">
        <v>136</v>
      </c>
      <c r="E28" s="19" t="s">
        <v>876</v>
      </c>
    </row>
    <row r="29" spans="1:5" x14ac:dyDescent="0.2">
      <c r="A29" s="19" t="s">
        <v>76</v>
      </c>
      <c r="B29" s="19" t="s">
        <v>876</v>
      </c>
      <c r="D29" s="19" t="s">
        <v>142</v>
      </c>
      <c r="E29" s="19" t="s">
        <v>876</v>
      </c>
    </row>
    <row r="30" spans="1:5" x14ac:dyDescent="0.2">
      <c r="A30" s="19" t="s">
        <v>157</v>
      </c>
      <c r="B30" s="19" t="s">
        <v>876</v>
      </c>
      <c r="D30" s="19" t="s">
        <v>141</v>
      </c>
      <c r="E30" s="19" t="s">
        <v>876</v>
      </c>
    </row>
    <row r="31" spans="1:5" x14ac:dyDescent="0.2">
      <c r="A31" s="19" t="s">
        <v>770</v>
      </c>
      <c r="B31" s="19" t="s">
        <v>876</v>
      </c>
      <c r="D31" s="19" t="s">
        <v>503</v>
      </c>
      <c r="E31" s="19" t="s">
        <v>876</v>
      </c>
    </row>
    <row r="32" spans="1:5" x14ac:dyDescent="0.2">
      <c r="A32" s="19" t="s">
        <v>1174</v>
      </c>
      <c r="B32" s="19" t="s">
        <v>1174</v>
      </c>
      <c r="D32" s="19" t="s">
        <v>76</v>
      </c>
      <c r="E32" s="19" t="s">
        <v>876</v>
      </c>
    </row>
    <row r="33" spans="4:5" x14ac:dyDescent="0.2">
      <c r="D33" s="19" t="s">
        <v>146</v>
      </c>
      <c r="E33" s="19" t="s">
        <v>876</v>
      </c>
    </row>
    <row r="34" spans="4:5" x14ac:dyDescent="0.2">
      <c r="D34" s="19" t="s">
        <v>880</v>
      </c>
      <c r="E34" s="19" t="s">
        <v>876</v>
      </c>
    </row>
    <row r="35" spans="4:5" x14ac:dyDescent="0.2">
      <c r="D35" s="19" t="s">
        <v>881</v>
      </c>
      <c r="E35" s="19" t="s">
        <v>876</v>
      </c>
    </row>
    <row r="36" spans="4:5" x14ac:dyDescent="0.2">
      <c r="D36" s="19" t="s">
        <v>882</v>
      </c>
      <c r="E36" s="19" t="s">
        <v>876</v>
      </c>
    </row>
    <row r="37" spans="4:5" x14ac:dyDescent="0.2">
      <c r="D37" s="19" t="s">
        <v>161</v>
      </c>
      <c r="E37" s="19" t="s">
        <v>876</v>
      </c>
    </row>
    <row r="38" spans="4:5" x14ac:dyDescent="0.2">
      <c r="D38" s="19" t="s">
        <v>883</v>
      </c>
      <c r="E38" s="19" t="s">
        <v>876</v>
      </c>
    </row>
    <row r="39" spans="4:5" x14ac:dyDescent="0.2">
      <c r="D39" s="19" t="s">
        <v>1174</v>
      </c>
      <c r="E39" s="19" t="s">
        <v>1174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59999389629810485"/>
  </sheetPr>
  <dimension ref="A1:D19"/>
  <sheetViews>
    <sheetView zoomScaleNormal="100" workbookViewId="0"/>
  </sheetViews>
  <sheetFormatPr defaultRowHeight="12.75" x14ac:dyDescent="0.2"/>
  <cols>
    <col min="1" max="2" width="21.7109375" style="28" customWidth="1"/>
    <col min="3" max="16384" width="9.140625" style="19"/>
  </cols>
  <sheetData>
    <row r="1" spans="1:4" ht="38.25" x14ac:dyDescent="0.2">
      <c r="A1" s="25" t="s">
        <v>1190</v>
      </c>
      <c r="B1" s="25" t="s">
        <v>1191</v>
      </c>
      <c r="D1" s="26" t="s">
        <v>1192</v>
      </c>
    </row>
    <row r="2" spans="1:4" x14ac:dyDescent="0.2">
      <c r="A2" s="27">
        <v>41362</v>
      </c>
      <c r="B2" s="27">
        <v>41361</v>
      </c>
    </row>
    <row r="3" spans="1:4" x14ac:dyDescent="0.2">
      <c r="A3" s="27">
        <v>43189</v>
      </c>
      <c r="B3" s="27">
        <v>43188</v>
      </c>
    </row>
    <row r="4" spans="1:4" x14ac:dyDescent="0.2">
      <c r="A4" s="27">
        <v>45380</v>
      </c>
      <c r="B4" s="27">
        <v>45379</v>
      </c>
    </row>
    <row r="5" spans="1:4" x14ac:dyDescent="0.2">
      <c r="A5" s="27">
        <v>47207</v>
      </c>
      <c r="B5" s="27">
        <v>47206</v>
      </c>
    </row>
    <row r="6" spans="1:4" x14ac:dyDescent="0.2">
      <c r="A6" s="27">
        <v>51225</v>
      </c>
      <c r="B6" s="27">
        <v>51224</v>
      </c>
    </row>
    <row r="7" spans="1:4" x14ac:dyDescent="0.2">
      <c r="A7" s="27">
        <v>55243</v>
      </c>
      <c r="B7" s="27">
        <v>55242</v>
      </c>
    </row>
    <row r="8" spans="1:4" x14ac:dyDescent="0.2">
      <c r="A8" s="27">
        <v>57070</v>
      </c>
      <c r="B8" s="27">
        <v>57069</v>
      </c>
    </row>
    <row r="9" spans="1:4" x14ac:dyDescent="0.2">
      <c r="A9" s="27">
        <v>68025</v>
      </c>
      <c r="B9" s="27">
        <v>68024</v>
      </c>
    </row>
    <row r="10" spans="1:4" x14ac:dyDescent="0.2">
      <c r="A10" s="27">
        <v>72043</v>
      </c>
      <c r="B10" s="27">
        <v>72042</v>
      </c>
    </row>
    <row r="11" spans="1:4" x14ac:dyDescent="0.2">
      <c r="A11" s="27"/>
      <c r="B11" s="27"/>
    </row>
    <row r="12" spans="1:4" x14ac:dyDescent="0.2">
      <c r="B12" s="27"/>
    </row>
    <row r="13" spans="1:4" x14ac:dyDescent="0.2">
      <c r="B13" s="27"/>
    </row>
    <row r="14" spans="1:4" x14ac:dyDescent="0.2">
      <c r="B14" s="27"/>
    </row>
    <row r="15" spans="1:4" x14ac:dyDescent="0.2">
      <c r="B15" s="27"/>
    </row>
    <row r="16" spans="1:4" x14ac:dyDescent="0.2">
      <c r="B16" s="27"/>
    </row>
    <row r="17" spans="2:2" x14ac:dyDescent="0.2">
      <c r="B17" s="27"/>
    </row>
    <row r="18" spans="2:2" x14ac:dyDescent="0.2">
      <c r="B18" s="27"/>
    </row>
    <row r="19" spans="2:2" x14ac:dyDescent="0.2">
      <c r="B19" s="27"/>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125"/>
  <sheetViews>
    <sheetView workbookViewId="0">
      <selection activeCell="A27" sqref="A27"/>
    </sheetView>
  </sheetViews>
  <sheetFormatPr defaultRowHeight="15" x14ac:dyDescent="0.25"/>
  <cols>
    <col min="1" max="1" width="51.42578125" bestFit="1" customWidth="1"/>
    <col min="2" max="2" width="8.85546875" bestFit="1" customWidth="1"/>
    <col min="3" max="3" width="10.140625" bestFit="1" customWidth="1"/>
    <col min="4" max="4" width="10.28515625" bestFit="1" customWidth="1"/>
    <col min="5" max="5" width="8.7109375" bestFit="1" customWidth="1"/>
    <col min="6" max="6" width="7" bestFit="1" customWidth="1"/>
    <col min="7" max="7" width="14.42578125" bestFit="1" customWidth="1"/>
    <col min="8" max="8" width="6" bestFit="1" customWidth="1"/>
    <col min="9" max="9" width="10.140625" bestFit="1" customWidth="1"/>
    <col min="10" max="10" width="31.28515625" bestFit="1" customWidth="1"/>
    <col min="11" max="11" width="32" bestFit="1" customWidth="1"/>
    <col min="12" max="12" width="25" bestFit="1" customWidth="1"/>
    <col min="13" max="13" width="12.42578125" bestFit="1" customWidth="1"/>
    <col min="14" max="14" width="13.140625" bestFit="1" customWidth="1"/>
    <col min="15" max="15" width="12.28515625" bestFit="1" customWidth="1"/>
    <col min="16" max="16" width="10.7109375" bestFit="1" customWidth="1"/>
    <col min="17" max="17" width="12.5703125" bestFit="1" customWidth="1"/>
    <col min="18" max="18" width="8.42578125" bestFit="1" customWidth="1"/>
    <col min="19" max="19" width="12" bestFit="1" customWidth="1"/>
    <col min="20" max="20" width="12.7109375" bestFit="1" customWidth="1"/>
    <col min="21" max="21" width="8.7109375" bestFit="1" customWidth="1"/>
    <col min="22" max="22" width="12" bestFit="1" customWidth="1"/>
    <col min="23" max="23" width="12.7109375" bestFit="1" customWidth="1"/>
    <col min="24" max="24" width="11.42578125" bestFit="1" customWidth="1"/>
    <col min="25" max="25" width="9" bestFit="1" customWidth="1"/>
    <col min="26" max="26" width="9.85546875" bestFit="1" customWidth="1"/>
    <col min="27" max="27" width="8.7109375" bestFit="1" customWidth="1"/>
    <col min="28" max="28" width="9.85546875" bestFit="1" customWidth="1"/>
    <col min="29" max="29" width="8.7109375" bestFit="1" customWidth="1"/>
    <col min="30" max="30" width="11.140625" bestFit="1" customWidth="1"/>
    <col min="31" max="31" width="16" bestFit="1" customWidth="1"/>
    <col min="32" max="32" width="12" bestFit="1" customWidth="1"/>
    <col min="33" max="33" width="12.7109375" bestFit="1" customWidth="1"/>
    <col min="34" max="34" width="8.140625" bestFit="1" customWidth="1"/>
    <col min="35" max="35" width="10.85546875" bestFit="1" customWidth="1"/>
    <col min="36" max="36" width="12.7109375" bestFit="1" customWidth="1"/>
    <col min="37" max="37" width="11" bestFit="1" customWidth="1"/>
    <col min="38" max="38" width="13.7109375" bestFit="1" customWidth="1"/>
    <col min="39" max="39" width="12.7109375" bestFit="1" customWidth="1"/>
    <col min="40" max="40" width="10.85546875" bestFit="1" customWidth="1"/>
    <col min="41" max="41" width="22.140625" bestFit="1" customWidth="1"/>
    <col min="42" max="42" width="11.7109375" bestFit="1" customWidth="1"/>
    <col min="43" max="43" width="30.7109375" bestFit="1" customWidth="1"/>
    <col min="44" max="44" width="14.5703125" bestFit="1" customWidth="1"/>
    <col min="45" max="45" width="10.5703125" bestFit="1" customWidth="1"/>
    <col min="46" max="46" width="11.7109375" bestFit="1" customWidth="1"/>
    <col min="47" max="47" width="8.7109375" bestFit="1" customWidth="1"/>
    <col min="48" max="48" width="12.7109375" bestFit="1" customWidth="1"/>
    <col min="49" max="49" width="12.42578125" bestFit="1" customWidth="1"/>
    <col min="50" max="50" width="17.28515625" bestFit="1" customWidth="1"/>
    <col min="51" max="51" width="10.5703125" bestFit="1" customWidth="1"/>
    <col min="52" max="52" width="6" bestFit="1" customWidth="1"/>
    <col min="53" max="53" width="61.5703125" bestFit="1" customWidth="1"/>
    <col min="54" max="54" width="14.85546875" bestFit="1" customWidth="1"/>
    <col min="55" max="55" width="14.42578125" bestFit="1" customWidth="1"/>
    <col min="56" max="56" width="5" bestFit="1" customWidth="1"/>
    <col min="57" max="57" width="13.5703125" bestFit="1" customWidth="1"/>
    <col min="58" max="58" width="11.28515625" bestFit="1" customWidth="1"/>
    <col min="59" max="59" width="26.5703125" bestFit="1" customWidth="1"/>
    <col min="60" max="60" width="26.7109375" bestFit="1" customWidth="1"/>
    <col min="61" max="61" width="32.28515625" bestFit="1" customWidth="1"/>
    <col min="62" max="62" width="32.42578125" bestFit="1" customWidth="1"/>
    <col min="63" max="63" width="14.7109375" bestFit="1" customWidth="1"/>
    <col min="64" max="64" width="10.28515625" bestFit="1" customWidth="1"/>
    <col min="65" max="65" width="12.5703125" bestFit="1" customWidth="1"/>
    <col min="66" max="66" width="18" bestFit="1" customWidth="1"/>
    <col min="67" max="67" width="18.85546875" bestFit="1" customWidth="1"/>
    <col min="68" max="68" width="16" bestFit="1" customWidth="1"/>
    <col min="69" max="69" width="18.85546875" bestFit="1" customWidth="1"/>
  </cols>
  <sheetData>
    <row r="1" spans="1:69" x14ac:dyDescent="0.25">
      <c r="A1" t="s">
        <v>4</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t="s">
        <v>34</v>
      </c>
      <c r="AF1" t="s">
        <v>35</v>
      </c>
      <c r="AG1" t="s">
        <v>36</v>
      </c>
      <c r="AH1" t="s">
        <v>37</v>
      </c>
      <c r="AI1" t="s">
        <v>38</v>
      </c>
      <c r="AJ1" t="s">
        <v>39</v>
      </c>
      <c r="AK1" t="s">
        <v>40</v>
      </c>
      <c r="AL1" t="s">
        <v>41</v>
      </c>
      <c r="AM1" t="s">
        <v>42</v>
      </c>
      <c r="AN1" t="s">
        <v>43</v>
      </c>
      <c r="AO1" t="s">
        <v>44</v>
      </c>
      <c r="AP1" t="s">
        <v>45</v>
      </c>
      <c r="AQ1" t="s">
        <v>46</v>
      </c>
      <c r="AR1" t="s">
        <v>47</v>
      </c>
      <c r="AS1" t="s">
        <v>48</v>
      </c>
      <c r="AT1" t="s">
        <v>49</v>
      </c>
      <c r="AU1" t="s">
        <v>50</v>
      </c>
      <c r="AV1" t="s">
        <v>51</v>
      </c>
      <c r="AW1" t="s">
        <v>52</v>
      </c>
      <c r="AX1" t="s">
        <v>53</v>
      </c>
      <c r="AY1" s="24" t="s">
        <v>54</v>
      </c>
      <c r="AZ1" t="s">
        <v>55</v>
      </c>
      <c r="BA1" t="s">
        <v>56</v>
      </c>
      <c r="BB1" t="s">
        <v>57</v>
      </c>
      <c r="BC1" t="s">
        <v>58</v>
      </c>
      <c r="BD1" t="s">
        <v>59</v>
      </c>
      <c r="BE1" t="s">
        <v>60</v>
      </c>
      <c r="BF1" t="s">
        <v>61</v>
      </c>
      <c r="BG1" t="s">
        <v>62</v>
      </c>
      <c r="BH1" t="s">
        <v>63</v>
      </c>
      <c r="BI1" t="s">
        <v>64</v>
      </c>
      <c r="BJ1" t="s">
        <v>65</v>
      </c>
      <c r="BK1" t="s">
        <v>66</v>
      </c>
      <c r="BL1" t="s">
        <v>67</v>
      </c>
      <c r="BM1" t="s">
        <v>68</v>
      </c>
      <c r="BN1" t="s">
        <v>69</v>
      </c>
      <c r="BO1" t="s">
        <v>70</v>
      </c>
      <c r="BP1" t="s">
        <v>71</v>
      </c>
      <c r="BQ1" t="s">
        <v>72</v>
      </c>
    </row>
    <row r="2" spans="1:69" x14ac:dyDescent="0.25">
      <c r="A2" t="s">
        <v>1484</v>
      </c>
      <c r="D2">
        <v>214777102</v>
      </c>
      <c r="E2" t="s">
        <v>1215</v>
      </c>
      <c r="G2" t="s">
        <v>1251</v>
      </c>
      <c r="H2">
        <v>91017</v>
      </c>
      <c r="I2" t="s">
        <v>1254</v>
      </c>
      <c r="J2" t="s">
        <v>1252</v>
      </c>
      <c r="K2" t="s">
        <v>1404</v>
      </c>
      <c r="L2" t="s">
        <v>1463</v>
      </c>
      <c r="M2" t="s">
        <v>1250</v>
      </c>
      <c r="O2" s="4">
        <v>42835</v>
      </c>
      <c r="P2" s="4">
        <v>42835</v>
      </c>
      <c r="R2" t="s">
        <v>74</v>
      </c>
      <c r="S2">
        <v>-25000</v>
      </c>
      <c r="T2">
        <v>-25000</v>
      </c>
      <c r="W2">
        <v>-24901.25</v>
      </c>
      <c r="Y2">
        <v>1</v>
      </c>
      <c r="Z2" t="s">
        <v>75</v>
      </c>
      <c r="AE2" t="s">
        <v>165</v>
      </c>
      <c r="AF2">
        <v>6.2480992271011901</v>
      </c>
      <c r="AG2">
        <v>-6.2496741161994596</v>
      </c>
      <c r="AH2">
        <v>0</v>
      </c>
      <c r="AI2">
        <v>0</v>
      </c>
      <c r="AJ2">
        <v>-0.159155209399614</v>
      </c>
      <c r="AK2">
        <v>100</v>
      </c>
      <c r="AL2" t="s">
        <v>1485</v>
      </c>
      <c r="AO2" t="s">
        <v>92</v>
      </c>
      <c r="AP2" t="s">
        <v>93</v>
      </c>
      <c r="AQ2" t="s">
        <v>1486</v>
      </c>
      <c r="AT2">
        <v>-61.178600000000003</v>
      </c>
      <c r="AU2">
        <v>75</v>
      </c>
      <c r="AX2" t="s">
        <v>76</v>
      </c>
      <c r="AY2" s="24" t="s">
        <v>1487</v>
      </c>
      <c r="BA2" t="s">
        <v>1253</v>
      </c>
      <c r="BG2">
        <v>500</v>
      </c>
      <c r="BH2">
        <v>505</v>
      </c>
      <c r="BI2" t="s">
        <v>1252</v>
      </c>
      <c r="BJ2" t="s">
        <v>1404</v>
      </c>
      <c r="BK2">
        <v>1</v>
      </c>
    </row>
    <row r="3" spans="1:69" x14ac:dyDescent="0.25">
      <c r="A3" t="s">
        <v>1488</v>
      </c>
      <c r="D3">
        <v>214777103</v>
      </c>
      <c r="E3" t="s">
        <v>1215</v>
      </c>
      <c r="G3" t="s">
        <v>1251</v>
      </c>
      <c r="H3">
        <v>91017</v>
      </c>
      <c r="I3" t="s">
        <v>1254</v>
      </c>
      <c r="J3" t="s">
        <v>1252</v>
      </c>
      <c r="K3" t="s">
        <v>1404</v>
      </c>
      <c r="L3" t="s">
        <v>1463</v>
      </c>
      <c r="M3" t="s">
        <v>1250</v>
      </c>
      <c r="O3" s="4">
        <v>42471</v>
      </c>
      <c r="P3" s="4">
        <v>42471</v>
      </c>
      <c r="R3" t="s">
        <v>74</v>
      </c>
      <c r="S3">
        <v>-24000</v>
      </c>
      <c r="T3">
        <v>-24000</v>
      </c>
      <c r="W3">
        <v>-23941.919999999998</v>
      </c>
      <c r="Y3">
        <v>1</v>
      </c>
      <c r="Z3" t="s">
        <v>75</v>
      </c>
      <c r="AE3" t="s">
        <v>165</v>
      </c>
      <c r="AF3">
        <v>3.66457132039795</v>
      </c>
      <c r="AG3">
        <v>-3.6651327261024602</v>
      </c>
      <c r="AH3">
        <v>0</v>
      </c>
      <c r="AI3">
        <v>0</v>
      </c>
      <c r="AJ3">
        <v>-0.21398801450050101</v>
      </c>
      <c r="AK3">
        <v>100</v>
      </c>
      <c r="AL3" t="s">
        <v>1470</v>
      </c>
      <c r="AO3" t="s">
        <v>92</v>
      </c>
      <c r="AP3" t="s">
        <v>93</v>
      </c>
      <c r="AQ3" t="s">
        <v>1489</v>
      </c>
      <c r="AT3">
        <v>-19.212</v>
      </c>
      <c r="AU3">
        <v>72</v>
      </c>
      <c r="AX3" t="s">
        <v>76</v>
      </c>
      <c r="AY3" s="24" t="s">
        <v>1490</v>
      </c>
      <c r="BA3" t="s">
        <v>1253</v>
      </c>
      <c r="BG3">
        <v>500</v>
      </c>
      <c r="BH3">
        <v>505</v>
      </c>
      <c r="BI3" t="s">
        <v>1252</v>
      </c>
      <c r="BJ3" t="s">
        <v>1404</v>
      </c>
      <c r="BK3">
        <v>1</v>
      </c>
    </row>
    <row r="4" spans="1:69" x14ac:dyDescent="0.25">
      <c r="A4" t="s">
        <v>1491</v>
      </c>
      <c r="D4">
        <v>214777104</v>
      </c>
      <c r="E4" t="s">
        <v>1215</v>
      </c>
      <c r="G4" t="s">
        <v>1251</v>
      </c>
      <c r="H4">
        <v>91017</v>
      </c>
      <c r="I4" t="s">
        <v>1254</v>
      </c>
      <c r="J4" t="s">
        <v>1252</v>
      </c>
      <c r="K4" t="s">
        <v>1404</v>
      </c>
      <c r="L4" t="s">
        <v>1492</v>
      </c>
      <c r="M4" t="s">
        <v>1250</v>
      </c>
      <c r="O4" s="4">
        <v>43018</v>
      </c>
      <c r="P4" s="4">
        <v>43018</v>
      </c>
      <c r="R4" t="s">
        <v>74</v>
      </c>
      <c r="S4">
        <v>-60000</v>
      </c>
      <c r="T4">
        <v>-60000</v>
      </c>
      <c r="W4">
        <v>-59735.1558</v>
      </c>
      <c r="Y4">
        <v>1</v>
      </c>
      <c r="Z4" t="s">
        <v>75</v>
      </c>
      <c r="AE4" t="s">
        <v>165</v>
      </c>
      <c r="AF4">
        <v>17.853908970100701</v>
      </c>
      <c r="AG4">
        <v>-17.859289177198701</v>
      </c>
      <c r="AH4">
        <v>0</v>
      </c>
      <c r="AI4">
        <v>0</v>
      </c>
      <c r="AJ4">
        <v>-0.55418840149650395</v>
      </c>
      <c r="AK4">
        <v>100</v>
      </c>
      <c r="AL4" t="s">
        <v>1493</v>
      </c>
      <c r="AO4" t="s">
        <v>92</v>
      </c>
      <c r="AP4" t="s">
        <v>93</v>
      </c>
      <c r="AQ4" t="s">
        <v>1494</v>
      </c>
      <c r="AT4">
        <v>-205.27959999999999</v>
      </c>
      <c r="AU4">
        <v>180</v>
      </c>
      <c r="AX4" t="s">
        <v>76</v>
      </c>
      <c r="AY4" s="24" t="s">
        <v>1495</v>
      </c>
      <c r="BA4" t="s">
        <v>1253</v>
      </c>
      <c r="BG4">
        <v>500</v>
      </c>
      <c r="BH4">
        <v>505</v>
      </c>
      <c r="BI4" t="s">
        <v>1252</v>
      </c>
      <c r="BJ4" t="s">
        <v>1404</v>
      </c>
      <c r="BK4">
        <v>1</v>
      </c>
    </row>
    <row r="5" spans="1:69" x14ac:dyDescent="0.25">
      <c r="A5" t="s">
        <v>1496</v>
      </c>
      <c r="D5">
        <v>214777105</v>
      </c>
      <c r="E5" t="s">
        <v>1215</v>
      </c>
      <c r="G5" t="s">
        <v>1251</v>
      </c>
      <c r="H5">
        <v>91017</v>
      </c>
      <c r="I5" t="s">
        <v>1254</v>
      </c>
      <c r="J5" t="s">
        <v>1252</v>
      </c>
      <c r="K5" t="s">
        <v>1404</v>
      </c>
      <c r="L5" t="s">
        <v>1456</v>
      </c>
      <c r="M5" t="s">
        <v>1250</v>
      </c>
      <c r="O5" s="4">
        <v>42369</v>
      </c>
      <c r="P5" s="4">
        <v>42369</v>
      </c>
      <c r="R5" t="s">
        <v>74</v>
      </c>
      <c r="S5">
        <v>-298000</v>
      </c>
      <c r="T5">
        <v>-298000</v>
      </c>
      <c r="W5">
        <v>-296906.34000000003</v>
      </c>
      <c r="Y5">
        <v>1</v>
      </c>
      <c r="Z5" t="s">
        <v>75</v>
      </c>
      <c r="AE5" t="s">
        <v>165</v>
      </c>
      <c r="AF5">
        <v>37.465434384997899</v>
      </c>
      <c r="AG5">
        <v>-37.470163352962103</v>
      </c>
      <c r="AH5">
        <v>0</v>
      </c>
      <c r="AI5">
        <v>0</v>
      </c>
      <c r="AJ5">
        <v>-2.75769715796923</v>
      </c>
      <c r="AK5">
        <v>100</v>
      </c>
      <c r="AL5" t="s">
        <v>1497</v>
      </c>
      <c r="AO5" t="s">
        <v>92</v>
      </c>
      <c r="AP5" t="s">
        <v>93</v>
      </c>
      <c r="AQ5" t="s">
        <v>1498</v>
      </c>
      <c r="AT5">
        <v>-134.69290000000001</v>
      </c>
      <c r="AU5">
        <v>894</v>
      </c>
      <c r="AX5" t="s">
        <v>76</v>
      </c>
      <c r="AY5" s="24" t="s">
        <v>1499</v>
      </c>
      <c r="BA5" t="s">
        <v>1253</v>
      </c>
      <c r="BG5">
        <v>500</v>
      </c>
      <c r="BH5">
        <v>505</v>
      </c>
      <c r="BI5" t="s">
        <v>1252</v>
      </c>
      <c r="BJ5" t="s">
        <v>1404</v>
      </c>
      <c r="BK5">
        <v>1</v>
      </c>
    </row>
    <row r="6" spans="1:69" x14ac:dyDescent="0.25">
      <c r="A6" t="s">
        <v>1500</v>
      </c>
      <c r="D6">
        <v>214777112</v>
      </c>
      <c r="E6" t="s">
        <v>1215</v>
      </c>
      <c r="G6" t="s">
        <v>1251</v>
      </c>
      <c r="H6">
        <v>91017</v>
      </c>
      <c r="I6" t="s">
        <v>1254</v>
      </c>
      <c r="J6" t="s">
        <v>1252</v>
      </c>
      <c r="K6" t="s">
        <v>1404</v>
      </c>
      <c r="L6" t="s">
        <v>1501</v>
      </c>
      <c r="M6" t="s">
        <v>1250</v>
      </c>
      <c r="O6" s="4">
        <v>42016</v>
      </c>
      <c r="P6" s="4">
        <v>42016</v>
      </c>
      <c r="R6" t="s">
        <v>74</v>
      </c>
      <c r="S6">
        <v>-150000</v>
      </c>
      <c r="T6">
        <v>-150000</v>
      </c>
      <c r="W6">
        <v>-149923.5</v>
      </c>
      <c r="Y6">
        <v>1</v>
      </c>
      <c r="Z6" t="s">
        <v>75</v>
      </c>
      <c r="AE6" t="s">
        <v>165</v>
      </c>
      <c r="AF6">
        <v>4.3128057740104904</v>
      </c>
      <c r="AG6">
        <v>-4.3129298429994396</v>
      </c>
      <c r="AH6">
        <v>0</v>
      </c>
      <c r="AI6">
        <v>0</v>
      </c>
      <c r="AJ6">
        <v>-1.02624615299283</v>
      </c>
      <c r="AK6">
        <v>100</v>
      </c>
      <c r="AL6" t="s">
        <v>1502</v>
      </c>
      <c r="AO6" t="s">
        <v>92</v>
      </c>
      <c r="AP6" t="s">
        <v>93</v>
      </c>
      <c r="AQ6" t="s">
        <v>1503</v>
      </c>
      <c r="AT6">
        <v>-2.8332000000000002</v>
      </c>
      <c r="AU6">
        <v>450</v>
      </c>
      <c r="AX6" t="s">
        <v>76</v>
      </c>
      <c r="AY6" s="24" t="s">
        <v>1504</v>
      </c>
      <c r="BA6" t="s">
        <v>1253</v>
      </c>
      <c r="BG6">
        <v>500</v>
      </c>
      <c r="BH6">
        <v>505</v>
      </c>
      <c r="BI6" t="s">
        <v>1252</v>
      </c>
      <c r="BJ6" t="s">
        <v>1404</v>
      </c>
      <c r="BK6">
        <v>1</v>
      </c>
    </row>
    <row r="7" spans="1:69" x14ac:dyDescent="0.25">
      <c r="A7" t="s">
        <v>1505</v>
      </c>
      <c r="D7">
        <v>214777113</v>
      </c>
      <c r="E7" t="s">
        <v>1215</v>
      </c>
      <c r="G7" t="s">
        <v>1251</v>
      </c>
      <c r="H7">
        <v>91017</v>
      </c>
      <c r="I7" t="s">
        <v>1254</v>
      </c>
      <c r="J7" t="s">
        <v>1252</v>
      </c>
      <c r="K7" t="s">
        <v>1404</v>
      </c>
      <c r="L7" t="s">
        <v>1506</v>
      </c>
      <c r="M7" t="s">
        <v>1250</v>
      </c>
      <c r="O7" s="4">
        <v>45573</v>
      </c>
      <c r="P7" s="4">
        <v>45573</v>
      </c>
      <c r="R7" t="s">
        <v>74</v>
      </c>
      <c r="S7">
        <v>-25000</v>
      </c>
      <c r="T7">
        <v>-25000</v>
      </c>
      <c r="W7">
        <v>-24680.5</v>
      </c>
      <c r="Y7">
        <v>1</v>
      </c>
      <c r="Z7" t="s">
        <v>75</v>
      </c>
      <c r="AE7" t="s">
        <v>165</v>
      </c>
      <c r="AF7">
        <v>21.475531337699099</v>
      </c>
      <c r="AG7">
        <v>-21.495931310699198</v>
      </c>
      <c r="AH7">
        <v>0</v>
      </c>
      <c r="AI7">
        <v>0</v>
      </c>
      <c r="AJ7">
        <v>-0.48959364890106399</v>
      </c>
      <c r="AK7">
        <v>100</v>
      </c>
      <c r="AL7" t="s">
        <v>1507</v>
      </c>
      <c r="AO7" t="s">
        <v>92</v>
      </c>
      <c r="AP7" t="s">
        <v>93</v>
      </c>
      <c r="AQ7" t="s">
        <v>1508</v>
      </c>
      <c r="AT7">
        <v>-253.94489999999999</v>
      </c>
      <c r="AU7">
        <v>75</v>
      </c>
      <c r="AX7" t="s">
        <v>76</v>
      </c>
      <c r="AY7" s="24" t="s">
        <v>1509</v>
      </c>
      <c r="BA7" t="s">
        <v>1253</v>
      </c>
      <c r="BG7">
        <v>500</v>
      </c>
      <c r="BH7">
        <v>505</v>
      </c>
      <c r="BI7" t="s">
        <v>1252</v>
      </c>
      <c r="BJ7" t="s">
        <v>1404</v>
      </c>
      <c r="BK7">
        <v>1</v>
      </c>
    </row>
    <row r="8" spans="1:69" x14ac:dyDescent="0.25">
      <c r="A8" t="s">
        <v>1510</v>
      </c>
      <c r="D8">
        <v>214777114</v>
      </c>
      <c r="E8" t="s">
        <v>1215</v>
      </c>
      <c r="G8" t="s">
        <v>1251</v>
      </c>
      <c r="H8">
        <v>91017</v>
      </c>
      <c r="I8" t="s">
        <v>1254</v>
      </c>
      <c r="J8" t="s">
        <v>1252</v>
      </c>
      <c r="K8" t="s">
        <v>1404</v>
      </c>
      <c r="L8" t="s">
        <v>1466</v>
      </c>
      <c r="M8" t="s">
        <v>1250</v>
      </c>
      <c r="O8" s="4">
        <v>43382</v>
      </c>
      <c r="P8" s="4">
        <v>43382</v>
      </c>
      <c r="R8" t="s">
        <v>74</v>
      </c>
      <c r="S8">
        <v>-125000</v>
      </c>
      <c r="T8">
        <v>-125000</v>
      </c>
      <c r="W8">
        <v>-123842.5</v>
      </c>
      <c r="Y8">
        <v>1</v>
      </c>
      <c r="Z8" t="s">
        <v>75</v>
      </c>
      <c r="AE8" t="s">
        <v>165</v>
      </c>
      <c r="AF8">
        <v>48.484531344001901</v>
      </c>
      <c r="AG8">
        <v>-48.503837597003397</v>
      </c>
      <c r="AH8">
        <v>0</v>
      </c>
      <c r="AI8">
        <v>0</v>
      </c>
      <c r="AJ8">
        <v>-1.74952438700711</v>
      </c>
      <c r="AK8">
        <v>100</v>
      </c>
      <c r="AL8" t="s">
        <v>1511</v>
      </c>
      <c r="AO8" t="s">
        <v>92</v>
      </c>
      <c r="AP8" t="s">
        <v>93</v>
      </c>
      <c r="AQ8" t="s">
        <v>1512</v>
      </c>
      <c r="AT8">
        <v>-672.17570000000001</v>
      </c>
      <c r="AU8">
        <v>375</v>
      </c>
      <c r="AX8" t="s">
        <v>76</v>
      </c>
      <c r="AY8" s="24" t="s">
        <v>1513</v>
      </c>
      <c r="BA8" t="s">
        <v>1253</v>
      </c>
      <c r="BG8">
        <v>500</v>
      </c>
      <c r="BH8">
        <v>505</v>
      </c>
      <c r="BI8" t="s">
        <v>1252</v>
      </c>
      <c r="BJ8" t="s">
        <v>1404</v>
      </c>
      <c r="BK8">
        <v>1</v>
      </c>
    </row>
    <row r="9" spans="1:69" x14ac:dyDescent="0.25">
      <c r="A9" t="s">
        <v>1514</v>
      </c>
      <c r="D9">
        <v>214777115</v>
      </c>
      <c r="E9" t="s">
        <v>1215</v>
      </c>
      <c r="G9" t="s">
        <v>1251</v>
      </c>
      <c r="H9">
        <v>91017</v>
      </c>
      <c r="I9" t="s">
        <v>1254</v>
      </c>
      <c r="J9" t="s">
        <v>1252</v>
      </c>
      <c r="K9" t="s">
        <v>1404</v>
      </c>
      <c r="L9" t="s">
        <v>1515</v>
      </c>
      <c r="M9" t="s">
        <v>1250</v>
      </c>
      <c r="O9" s="4">
        <v>43745</v>
      </c>
      <c r="P9" s="4">
        <v>43745</v>
      </c>
      <c r="R9" t="s">
        <v>74</v>
      </c>
      <c r="S9">
        <v>-272000</v>
      </c>
      <c r="T9">
        <v>-272000</v>
      </c>
      <c r="W9">
        <v>-269380.64</v>
      </c>
      <c r="Y9">
        <v>1</v>
      </c>
      <c r="Z9" t="s">
        <v>75</v>
      </c>
      <c r="AE9" t="s">
        <v>165</v>
      </c>
      <c r="AF9">
        <v>129.830210736021</v>
      </c>
      <c r="AG9">
        <v>-129.89436424599299</v>
      </c>
      <c r="AH9">
        <v>0</v>
      </c>
      <c r="AI9">
        <v>0</v>
      </c>
      <c r="AJ9">
        <v>-2.81446341896662</v>
      </c>
      <c r="AK9">
        <v>100</v>
      </c>
      <c r="AL9" t="s">
        <v>1516</v>
      </c>
      <c r="AO9" t="s">
        <v>92</v>
      </c>
      <c r="AP9" t="s">
        <v>93</v>
      </c>
      <c r="AQ9" t="s">
        <v>1517</v>
      </c>
      <c r="AT9">
        <v>-1673.1463000000001</v>
      </c>
      <c r="AU9">
        <v>816</v>
      </c>
      <c r="AX9" t="s">
        <v>76</v>
      </c>
      <c r="AY9" s="24" t="s">
        <v>1518</v>
      </c>
      <c r="BA9" t="s">
        <v>1253</v>
      </c>
      <c r="BG9">
        <v>500</v>
      </c>
      <c r="BH9">
        <v>505</v>
      </c>
      <c r="BI9" t="s">
        <v>1252</v>
      </c>
      <c r="BJ9" t="s">
        <v>1404</v>
      </c>
      <c r="BK9">
        <v>1</v>
      </c>
    </row>
    <row r="10" spans="1:69" x14ac:dyDescent="0.25">
      <c r="A10" t="s">
        <v>1519</v>
      </c>
      <c r="D10">
        <v>214777117</v>
      </c>
      <c r="E10" t="s">
        <v>1215</v>
      </c>
      <c r="G10" t="s">
        <v>1251</v>
      </c>
      <c r="H10">
        <v>91017</v>
      </c>
      <c r="I10" t="s">
        <v>1254</v>
      </c>
      <c r="J10" t="s">
        <v>1252</v>
      </c>
      <c r="K10" t="s">
        <v>1404</v>
      </c>
      <c r="L10" t="s">
        <v>1468</v>
      </c>
      <c r="M10" t="s">
        <v>1250</v>
      </c>
      <c r="O10" s="4">
        <v>43746</v>
      </c>
      <c r="P10" s="4">
        <v>43746</v>
      </c>
      <c r="R10" t="s">
        <v>74</v>
      </c>
      <c r="S10">
        <v>-75000</v>
      </c>
      <c r="T10">
        <v>-75000</v>
      </c>
      <c r="W10">
        <v>-74457</v>
      </c>
      <c r="Y10">
        <v>1</v>
      </c>
      <c r="Z10" t="s">
        <v>75</v>
      </c>
      <c r="AE10" t="s">
        <v>165</v>
      </c>
      <c r="AF10">
        <v>35.845226392295402</v>
      </c>
      <c r="AG10">
        <v>-35.862935632700101</v>
      </c>
      <c r="AH10">
        <v>0</v>
      </c>
      <c r="AI10">
        <v>0</v>
      </c>
      <c r="AJ10">
        <v>-0.85602151519560699</v>
      </c>
      <c r="AK10">
        <v>100</v>
      </c>
      <c r="AL10" t="s">
        <v>1520</v>
      </c>
      <c r="AO10" t="s">
        <v>92</v>
      </c>
      <c r="AP10" t="s">
        <v>93</v>
      </c>
      <c r="AQ10" t="s">
        <v>1521</v>
      </c>
      <c r="AT10">
        <v>-461.48250000000002</v>
      </c>
      <c r="AU10">
        <v>225</v>
      </c>
      <c r="AX10" t="s">
        <v>76</v>
      </c>
      <c r="AY10" s="24" t="s">
        <v>1522</v>
      </c>
      <c r="BA10" t="s">
        <v>1253</v>
      </c>
      <c r="BG10">
        <v>500</v>
      </c>
      <c r="BH10">
        <v>505</v>
      </c>
      <c r="BI10" t="s">
        <v>1252</v>
      </c>
      <c r="BJ10" t="s">
        <v>1404</v>
      </c>
      <c r="BK10">
        <v>1</v>
      </c>
    </row>
    <row r="11" spans="1:69" x14ac:dyDescent="0.25">
      <c r="A11" t="s">
        <v>1523</v>
      </c>
      <c r="D11">
        <v>214777119</v>
      </c>
      <c r="E11" t="s">
        <v>1215</v>
      </c>
      <c r="G11" t="s">
        <v>1251</v>
      </c>
      <c r="H11">
        <v>91017</v>
      </c>
      <c r="I11" t="s">
        <v>1254</v>
      </c>
      <c r="J11" t="s">
        <v>1252</v>
      </c>
      <c r="K11" t="s">
        <v>1404</v>
      </c>
      <c r="L11" t="s">
        <v>1468</v>
      </c>
      <c r="M11" t="s">
        <v>1250</v>
      </c>
      <c r="O11" s="4">
        <v>42468</v>
      </c>
      <c r="P11" s="4">
        <v>42468</v>
      </c>
      <c r="R11" t="s">
        <v>74</v>
      </c>
      <c r="S11">
        <v>-150000</v>
      </c>
      <c r="T11">
        <v>-150000</v>
      </c>
      <c r="W11">
        <v>-149535</v>
      </c>
      <c r="Y11">
        <v>1</v>
      </c>
      <c r="Z11" t="s">
        <v>75</v>
      </c>
      <c r="AE11" t="s">
        <v>165</v>
      </c>
      <c r="AF11">
        <v>22.850321743986601</v>
      </c>
      <c r="AG11">
        <v>-22.8538165010104</v>
      </c>
      <c r="AH11">
        <v>0</v>
      </c>
      <c r="AI11">
        <v>0</v>
      </c>
      <c r="AJ11">
        <v>-1.32978437098791</v>
      </c>
      <c r="AK11">
        <v>100</v>
      </c>
      <c r="AL11" t="s">
        <v>1524</v>
      </c>
      <c r="AO11" t="s">
        <v>92</v>
      </c>
      <c r="AP11" t="s">
        <v>93</v>
      </c>
      <c r="AQ11" t="s">
        <v>1525</v>
      </c>
      <c r="AT11">
        <v>-119.5214</v>
      </c>
      <c r="AU11">
        <v>450</v>
      </c>
      <c r="AX11" t="s">
        <v>76</v>
      </c>
      <c r="AY11" s="24" t="s">
        <v>1526</v>
      </c>
      <c r="BA11" t="s">
        <v>1253</v>
      </c>
      <c r="BG11">
        <v>500</v>
      </c>
      <c r="BH11">
        <v>505</v>
      </c>
      <c r="BI11" t="s">
        <v>1252</v>
      </c>
      <c r="BJ11" t="s">
        <v>1404</v>
      </c>
      <c r="BK11">
        <v>1</v>
      </c>
    </row>
    <row r="12" spans="1:69" x14ac:dyDescent="0.25">
      <c r="A12" t="s">
        <v>1527</v>
      </c>
      <c r="D12">
        <v>214777121</v>
      </c>
      <c r="E12" t="s">
        <v>1215</v>
      </c>
      <c r="G12" t="s">
        <v>1251</v>
      </c>
      <c r="H12">
        <v>91017</v>
      </c>
      <c r="I12" t="s">
        <v>1254</v>
      </c>
      <c r="J12" t="s">
        <v>1252</v>
      </c>
      <c r="K12" t="s">
        <v>1404</v>
      </c>
      <c r="L12" t="s">
        <v>1468</v>
      </c>
      <c r="M12" t="s">
        <v>1250</v>
      </c>
      <c r="O12" s="4">
        <v>43018</v>
      </c>
      <c r="P12" s="4">
        <v>43018</v>
      </c>
      <c r="R12" t="s">
        <v>74</v>
      </c>
      <c r="S12">
        <v>-62000</v>
      </c>
      <c r="T12">
        <v>-62000</v>
      </c>
      <c r="W12">
        <v>-61725.96</v>
      </c>
      <c r="Y12">
        <v>1</v>
      </c>
      <c r="Z12" t="s">
        <v>75</v>
      </c>
      <c r="AE12" t="s">
        <v>165</v>
      </c>
      <c r="AF12">
        <v>18.4484352065992</v>
      </c>
      <c r="AG12">
        <v>-18.4539946210061</v>
      </c>
      <c r="AH12">
        <v>0</v>
      </c>
      <c r="AI12">
        <v>0</v>
      </c>
      <c r="AJ12">
        <v>-0.57521731390443198</v>
      </c>
      <c r="AK12">
        <v>100</v>
      </c>
      <c r="AL12" t="s">
        <v>1528</v>
      </c>
      <c r="AO12" t="s">
        <v>92</v>
      </c>
      <c r="AP12" t="s">
        <v>93</v>
      </c>
      <c r="AQ12" t="s">
        <v>1529</v>
      </c>
      <c r="AT12">
        <v>-212.1131</v>
      </c>
      <c r="AU12">
        <v>186</v>
      </c>
      <c r="AX12" t="s">
        <v>76</v>
      </c>
      <c r="AY12" s="24" t="s">
        <v>1530</v>
      </c>
      <c r="BA12" t="s">
        <v>1253</v>
      </c>
      <c r="BG12">
        <v>500</v>
      </c>
      <c r="BH12">
        <v>505</v>
      </c>
      <c r="BI12" t="s">
        <v>1252</v>
      </c>
      <c r="BJ12" t="s">
        <v>1404</v>
      </c>
      <c r="BK12">
        <v>1</v>
      </c>
    </row>
    <row r="13" spans="1:69" x14ac:dyDescent="0.25">
      <c r="A13" t="s">
        <v>1531</v>
      </c>
      <c r="D13">
        <v>214777123</v>
      </c>
      <c r="E13" t="s">
        <v>1215</v>
      </c>
      <c r="G13" t="s">
        <v>1251</v>
      </c>
      <c r="H13">
        <v>91017</v>
      </c>
      <c r="I13" t="s">
        <v>1254</v>
      </c>
      <c r="J13" t="s">
        <v>1252</v>
      </c>
      <c r="K13" t="s">
        <v>1404</v>
      </c>
      <c r="L13" t="s">
        <v>1532</v>
      </c>
      <c r="M13" t="s">
        <v>1250</v>
      </c>
      <c r="O13" s="4">
        <v>42464</v>
      </c>
      <c r="P13" s="4">
        <v>42464</v>
      </c>
      <c r="R13" t="s">
        <v>74</v>
      </c>
      <c r="S13">
        <v>-150000</v>
      </c>
      <c r="T13">
        <v>-150000</v>
      </c>
      <c r="W13">
        <v>-149544</v>
      </c>
      <c r="Y13">
        <v>1</v>
      </c>
      <c r="Z13" t="s">
        <v>75</v>
      </c>
      <c r="AE13" t="s">
        <v>165</v>
      </c>
      <c r="AF13">
        <v>22.6063114939898</v>
      </c>
      <c r="AG13">
        <v>-22.609731804987</v>
      </c>
      <c r="AH13">
        <v>0</v>
      </c>
      <c r="AI13">
        <v>0</v>
      </c>
      <c r="AJ13">
        <v>-1.38133450399619</v>
      </c>
      <c r="AK13">
        <v>100</v>
      </c>
      <c r="AL13" t="s">
        <v>1533</v>
      </c>
      <c r="AO13" t="s">
        <v>92</v>
      </c>
      <c r="AP13" t="s">
        <v>93</v>
      </c>
      <c r="AQ13" t="s">
        <v>1534</v>
      </c>
      <c r="AT13">
        <v>-116.4522</v>
      </c>
      <c r="AU13">
        <v>450</v>
      </c>
      <c r="AX13" t="s">
        <v>76</v>
      </c>
      <c r="AY13" s="24" t="s">
        <v>1535</v>
      </c>
      <c r="BA13" t="s">
        <v>1253</v>
      </c>
      <c r="BG13">
        <v>500</v>
      </c>
      <c r="BH13">
        <v>505</v>
      </c>
      <c r="BI13" t="s">
        <v>1252</v>
      </c>
      <c r="BJ13" t="s">
        <v>1404</v>
      </c>
      <c r="BK13">
        <v>1</v>
      </c>
    </row>
    <row r="14" spans="1:69" x14ac:dyDescent="0.25">
      <c r="A14" t="s">
        <v>1536</v>
      </c>
      <c r="D14">
        <v>214777124</v>
      </c>
      <c r="E14" t="s">
        <v>1215</v>
      </c>
      <c r="G14" t="s">
        <v>1251</v>
      </c>
      <c r="H14">
        <v>91017</v>
      </c>
      <c r="I14" t="s">
        <v>1254</v>
      </c>
      <c r="J14" t="s">
        <v>1252</v>
      </c>
      <c r="K14" t="s">
        <v>1404</v>
      </c>
      <c r="L14" t="s">
        <v>1537</v>
      </c>
      <c r="M14" t="s">
        <v>1250</v>
      </c>
      <c r="O14" s="4">
        <v>42585</v>
      </c>
      <c r="P14" s="4">
        <v>42585</v>
      </c>
      <c r="R14" t="s">
        <v>74</v>
      </c>
      <c r="S14">
        <v>-142000</v>
      </c>
      <c r="T14">
        <v>-142000</v>
      </c>
      <c r="W14">
        <v>-140882.46</v>
      </c>
      <c r="Y14">
        <v>1</v>
      </c>
      <c r="Z14" t="s">
        <v>75</v>
      </c>
      <c r="AE14" t="s">
        <v>165</v>
      </c>
      <c r="AF14">
        <v>25.894659815996398</v>
      </c>
      <c r="AG14">
        <v>-25.899429942015601</v>
      </c>
      <c r="AH14">
        <v>0</v>
      </c>
      <c r="AI14">
        <v>0</v>
      </c>
      <c r="AJ14">
        <v>-2.89612952800235</v>
      </c>
      <c r="AK14">
        <v>100</v>
      </c>
      <c r="AL14" t="s">
        <v>1538</v>
      </c>
      <c r="AO14" t="s">
        <v>92</v>
      </c>
      <c r="AP14" t="s">
        <v>93</v>
      </c>
      <c r="AQ14" t="s">
        <v>1539</v>
      </c>
      <c r="AT14">
        <v>-167.3613</v>
      </c>
      <c r="AU14">
        <v>426</v>
      </c>
      <c r="AX14" t="s">
        <v>76</v>
      </c>
      <c r="AY14" s="24" t="s">
        <v>1540</v>
      </c>
      <c r="BA14" t="s">
        <v>1253</v>
      </c>
      <c r="BG14">
        <v>500</v>
      </c>
      <c r="BH14">
        <v>505</v>
      </c>
      <c r="BI14" t="s">
        <v>1252</v>
      </c>
      <c r="BJ14" t="s">
        <v>1404</v>
      </c>
      <c r="BK14">
        <v>1</v>
      </c>
    </row>
    <row r="15" spans="1:69" x14ac:dyDescent="0.25">
      <c r="A15" t="s">
        <v>1541</v>
      </c>
      <c r="D15">
        <v>214777125</v>
      </c>
      <c r="E15" t="s">
        <v>1215</v>
      </c>
      <c r="G15" t="s">
        <v>1251</v>
      </c>
      <c r="H15">
        <v>91017</v>
      </c>
      <c r="I15" t="s">
        <v>1254</v>
      </c>
      <c r="J15" t="s">
        <v>1252</v>
      </c>
      <c r="K15" t="s">
        <v>1404</v>
      </c>
      <c r="L15" t="s">
        <v>1537</v>
      </c>
      <c r="M15" t="s">
        <v>1250</v>
      </c>
      <c r="O15" s="4">
        <v>42828</v>
      </c>
      <c r="P15" s="4">
        <v>42828</v>
      </c>
      <c r="R15" t="s">
        <v>74</v>
      </c>
      <c r="S15">
        <v>-50000</v>
      </c>
      <c r="T15">
        <v>-50000</v>
      </c>
      <c r="W15">
        <v>-49629.5</v>
      </c>
      <c r="Y15">
        <v>1</v>
      </c>
      <c r="Z15" t="s">
        <v>75</v>
      </c>
      <c r="AE15" t="s">
        <v>165</v>
      </c>
      <c r="AF15">
        <v>12.3527551596999</v>
      </c>
      <c r="AG15">
        <v>-12.3558445821036</v>
      </c>
      <c r="AH15">
        <v>0</v>
      </c>
      <c r="AI15">
        <v>0</v>
      </c>
      <c r="AJ15">
        <v>-0.59977654230169697</v>
      </c>
      <c r="AK15">
        <v>100</v>
      </c>
      <c r="AL15" t="s">
        <v>1542</v>
      </c>
      <c r="AO15" t="s">
        <v>92</v>
      </c>
      <c r="AP15" t="s">
        <v>93</v>
      </c>
      <c r="AQ15" t="s">
        <v>1543</v>
      </c>
      <c r="AT15">
        <v>-119.9525</v>
      </c>
      <c r="AU15">
        <v>150</v>
      </c>
      <c r="AX15" t="s">
        <v>76</v>
      </c>
      <c r="AY15" s="24" t="s">
        <v>1544</v>
      </c>
      <c r="BA15" t="s">
        <v>1253</v>
      </c>
      <c r="BG15">
        <v>500</v>
      </c>
      <c r="BH15">
        <v>505</v>
      </c>
      <c r="BI15" t="s">
        <v>1252</v>
      </c>
      <c r="BJ15" t="s">
        <v>1404</v>
      </c>
      <c r="BK15">
        <v>1</v>
      </c>
    </row>
    <row r="16" spans="1:69" x14ac:dyDescent="0.25">
      <c r="A16" t="s">
        <v>1545</v>
      </c>
      <c r="D16">
        <v>214777126</v>
      </c>
      <c r="E16" t="s">
        <v>1215</v>
      </c>
      <c r="G16" t="s">
        <v>1251</v>
      </c>
      <c r="H16">
        <v>91017</v>
      </c>
      <c r="I16" t="s">
        <v>1254</v>
      </c>
      <c r="J16" t="s">
        <v>1252</v>
      </c>
      <c r="K16" t="s">
        <v>1404</v>
      </c>
      <c r="L16" t="s">
        <v>1537</v>
      </c>
      <c r="M16" t="s">
        <v>1250</v>
      </c>
      <c r="O16" s="4">
        <v>43011</v>
      </c>
      <c r="P16" s="4">
        <v>43011</v>
      </c>
      <c r="R16" t="s">
        <v>74</v>
      </c>
      <c r="S16">
        <v>-142000</v>
      </c>
      <c r="T16">
        <v>-142000</v>
      </c>
      <c r="W16">
        <v>-140828.5</v>
      </c>
      <c r="Y16">
        <v>1</v>
      </c>
      <c r="Z16" t="s">
        <v>75</v>
      </c>
      <c r="AE16" t="s">
        <v>165</v>
      </c>
      <c r="AF16">
        <v>41.821772025024998</v>
      </c>
      <c r="AG16">
        <v>-41.8342954379914</v>
      </c>
      <c r="AH16">
        <v>0</v>
      </c>
      <c r="AI16">
        <v>0</v>
      </c>
      <c r="AJ16">
        <v>-1.87566595099634</v>
      </c>
      <c r="AK16">
        <v>100</v>
      </c>
      <c r="AL16" t="s">
        <v>1546</v>
      </c>
      <c r="AO16" t="s">
        <v>92</v>
      </c>
      <c r="AP16" t="s">
        <v>93</v>
      </c>
      <c r="AQ16" t="s">
        <v>1547</v>
      </c>
      <c r="AT16">
        <v>-478.71100000000001</v>
      </c>
      <c r="AU16">
        <v>426</v>
      </c>
      <c r="AX16" t="s">
        <v>76</v>
      </c>
      <c r="AY16" s="24" t="s">
        <v>1548</v>
      </c>
      <c r="BA16" t="s">
        <v>1253</v>
      </c>
      <c r="BG16">
        <v>500</v>
      </c>
      <c r="BH16">
        <v>505</v>
      </c>
      <c r="BI16" t="s">
        <v>1252</v>
      </c>
      <c r="BJ16" t="s">
        <v>1404</v>
      </c>
      <c r="BK16">
        <v>1</v>
      </c>
    </row>
    <row r="17" spans="1:63" x14ac:dyDescent="0.25">
      <c r="A17" t="s">
        <v>1549</v>
      </c>
      <c r="D17">
        <v>214777127</v>
      </c>
      <c r="E17" t="s">
        <v>1215</v>
      </c>
      <c r="G17" t="s">
        <v>1251</v>
      </c>
      <c r="H17">
        <v>91017</v>
      </c>
      <c r="I17" t="s">
        <v>1254</v>
      </c>
      <c r="J17" t="s">
        <v>1252</v>
      </c>
      <c r="K17" t="s">
        <v>1404</v>
      </c>
      <c r="L17" t="s">
        <v>1550</v>
      </c>
      <c r="M17" t="s">
        <v>1250</v>
      </c>
      <c r="O17" s="4">
        <v>43376</v>
      </c>
      <c r="P17" s="4">
        <v>43376</v>
      </c>
      <c r="R17" t="s">
        <v>74</v>
      </c>
      <c r="S17">
        <v>-74000</v>
      </c>
      <c r="T17">
        <v>-74000</v>
      </c>
      <c r="W17">
        <v>-73228.179999999993</v>
      </c>
      <c r="Y17">
        <v>1</v>
      </c>
      <c r="Z17" t="s">
        <v>75</v>
      </c>
      <c r="AE17" t="s">
        <v>165</v>
      </c>
      <c r="AF17">
        <v>28.554992196790401</v>
      </c>
      <c r="AG17">
        <v>-28.566317135206202</v>
      </c>
      <c r="AH17">
        <v>0</v>
      </c>
      <c r="AI17">
        <v>0</v>
      </c>
      <c r="AJ17">
        <v>-1.10064248389972</v>
      </c>
      <c r="AK17">
        <v>100</v>
      </c>
      <c r="AL17" t="s">
        <v>1551</v>
      </c>
      <c r="AO17" t="s">
        <v>92</v>
      </c>
      <c r="AP17" t="s">
        <v>93</v>
      </c>
      <c r="AQ17" t="s">
        <v>1552</v>
      </c>
      <c r="AT17">
        <v>-392.52710000000002</v>
      </c>
      <c r="AU17">
        <v>222</v>
      </c>
      <c r="AX17" t="s">
        <v>76</v>
      </c>
      <c r="AY17" s="24" t="s">
        <v>1553</v>
      </c>
      <c r="BA17" t="s">
        <v>1253</v>
      </c>
      <c r="BG17">
        <v>500</v>
      </c>
      <c r="BH17">
        <v>505</v>
      </c>
      <c r="BI17" t="s">
        <v>1252</v>
      </c>
      <c r="BJ17" t="s">
        <v>1404</v>
      </c>
      <c r="BK17">
        <v>1</v>
      </c>
    </row>
    <row r="18" spans="1:63" x14ac:dyDescent="0.25">
      <c r="A18" t="s">
        <v>1554</v>
      </c>
      <c r="D18">
        <v>214777128</v>
      </c>
      <c r="E18" t="s">
        <v>1215</v>
      </c>
      <c r="G18" t="s">
        <v>1251</v>
      </c>
      <c r="H18">
        <v>91017</v>
      </c>
      <c r="I18" t="s">
        <v>1254</v>
      </c>
      <c r="J18" t="s">
        <v>1252</v>
      </c>
      <c r="K18" t="s">
        <v>1404</v>
      </c>
      <c r="L18" t="s">
        <v>1426</v>
      </c>
      <c r="M18" t="s">
        <v>1250</v>
      </c>
      <c r="O18" s="4">
        <v>43382</v>
      </c>
      <c r="P18" s="4">
        <v>43382</v>
      </c>
      <c r="R18" t="s">
        <v>74</v>
      </c>
      <c r="S18">
        <v>-50000</v>
      </c>
      <c r="T18">
        <v>-50000</v>
      </c>
      <c r="W18">
        <v>-49713</v>
      </c>
      <c r="Y18">
        <v>1</v>
      </c>
      <c r="Z18" t="s">
        <v>75</v>
      </c>
      <c r="AE18" t="s">
        <v>165</v>
      </c>
      <c r="AF18">
        <v>19.496495129002099</v>
      </c>
      <c r="AG18">
        <v>-19.504264046299799</v>
      </c>
      <c r="AH18">
        <v>0</v>
      </c>
      <c r="AI18">
        <v>0</v>
      </c>
      <c r="AJ18">
        <v>-0.42923323539434899</v>
      </c>
      <c r="AK18">
        <v>100</v>
      </c>
      <c r="AL18" t="s">
        <v>1555</v>
      </c>
      <c r="AO18" t="s">
        <v>92</v>
      </c>
      <c r="AP18" t="s">
        <v>93</v>
      </c>
      <c r="AQ18" t="s">
        <v>1556</v>
      </c>
      <c r="AT18">
        <v>-270.48750000000001</v>
      </c>
      <c r="AU18">
        <v>150</v>
      </c>
      <c r="AX18" t="s">
        <v>76</v>
      </c>
      <c r="AY18" s="24" t="s">
        <v>1557</v>
      </c>
      <c r="BA18" t="s">
        <v>1253</v>
      </c>
      <c r="BG18">
        <v>500</v>
      </c>
      <c r="BH18">
        <v>505</v>
      </c>
      <c r="BI18" t="s">
        <v>1252</v>
      </c>
      <c r="BJ18" t="s">
        <v>1404</v>
      </c>
      <c r="BK18">
        <v>1</v>
      </c>
    </row>
    <row r="19" spans="1:63" x14ac:dyDescent="0.25">
      <c r="A19" t="s">
        <v>1558</v>
      </c>
      <c r="D19">
        <v>214777129</v>
      </c>
      <c r="E19" t="s">
        <v>1215</v>
      </c>
      <c r="G19" t="s">
        <v>1251</v>
      </c>
      <c r="H19">
        <v>91017</v>
      </c>
      <c r="I19" t="s">
        <v>1254</v>
      </c>
      <c r="J19" t="s">
        <v>1252</v>
      </c>
      <c r="K19" t="s">
        <v>1404</v>
      </c>
      <c r="L19" t="s">
        <v>1426</v>
      </c>
      <c r="M19" t="s">
        <v>1250</v>
      </c>
      <c r="O19" s="4">
        <v>42654</v>
      </c>
      <c r="P19" s="4">
        <v>42654</v>
      </c>
      <c r="R19" t="s">
        <v>74</v>
      </c>
      <c r="S19">
        <v>-145000</v>
      </c>
      <c r="T19">
        <v>-145000</v>
      </c>
      <c r="W19">
        <v>-144694.92000000001</v>
      </c>
      <c r="Y19">
        <v>1</v>
      </c>
      <c r="Z19" t="s">
        <v>75</v>
      </c>
      <c r="AE19" t="s">
        <v>165</v>
      </c>
      <c r="AF19">
        <v>29.3045479360153</v>
      </c>
      <c r="AG19">
        <v>-29.310498740989701</v>
      </c>
      <c r="AH19">
        <v>0</v>
      </c>
      <c r="AI19">
        <v>0</v>
      </c>
      <c r="AJ19">
        <v>-1.2937230909883499</v>
      </c>
      <c r="AK19">
        <v>100</v>
      </c>
      <c r="AL19" t="s">
        <v>1559</v>
      </c>
      <c r="AO19" t="s">
        <v>92</v>
      </c>
      <c r="AP19" t="s">
        <v>93</v>
      </c>
      <c r="AQ19" t="s">
        <v>1560</v>
      </c>
      <c r="AT19">
        <v>-209.57980000000001</v>
      </c>
      <c r="AU19">
        <v>435</v>
      </c>
      <c r="AX19" t="s">
        <v>76</v>
      </c>
      <c r="AY19" s="24" t="s">
        <v>1561</v>
      </c>
      <c r="BA19" t="s">
        <v>1253</v>
      </c>
      <c r="BG19">
        <v>500</v>
      </c>
      <c r="BH19">
        <v>505</v>
      </c>
      <c r="BI19" t="s">
        <v>1252</v>
      </c>
      <c r="BJ19" t="s">
        <v>1404</v>
      </c>
      <c r="BK19">
        <v>1</v>
      </c>
    </row>
    <row r="20" spans="1:63" x14ac:dyDescent="0.25">
      <c r="A20" t="s">
        <v>1562</v>
      </c>
      <c r="D20">
        <v>214777130</v>
      </c>
      <c r="E20" t="s">
        <v>1215</v>
      </c>
      <c r="G20" t="s">
        <v>1251</v>
      </c>
      <c r="H20">
        <v>91017</v>
      </c>
      <c r="I20" t="s">
        <v>1254</v>
      </c>
      <c r="J20" t="s">
        <v>1252</v>
      </c>
      <c r="K20" t="s">
        <v>1404</v>
      </c>
      <c r="L20" t="s">
        <v>1426</v>
      </c>
      <c r="M20" t="s">
        <v>1250</v>
      </c>
      <c r="O20" s="4">
        <v>43018</v>
      </c>
      <c r="P20" s="4">
        <v>43018</v>
      </c>
      <c r="R20" t="s">
        <v>74</v>
      </c>
      <c r="S20">
        <v>-25000</v>
      </c>
      <c r="T20">
        <v>-25000</v>
      </c>
      <c r="W20">
        <v>-24891.601500000001</v>
      </c>
      <c r="Y20">
        <v>1</v>
      </c>
      <c r="Z20" t="s">
        <v>75</v>
      </c>
      <c r="AE20" t="s">
        <v>165</v>
      </c>
      <c r="AF20">
        <v>7.43951825760087</v>
      </c>
      <c r="AG20">
        <v>-7.4417601481982301</v>
      </c>
      <c r="AH20">
        <v>0</v>
      </c>
      <c r="AI20">
        <v>0</v>
      </c>
      <c r="AJ20">
        <v>-0.23003584770049201</v>
      </c>
      <c r="AK20">
        <v>100</v>
      </c>
      <c r="AL20" t="s">
        <v>1563</v>
      </c>
      <c r="AO20" t="s">
        <v>92</v>
      </c>
      <c r="AP20" t="s">
        <v>93</v>
      </c>
      <c r="AQ20" t="s">
        <v>1564</v>
      </c>
      <c r="AT20">
        <v>-85.536799999999999</v>
      </c>
      <c r="AU20">
        <v>75</v>
      </c>
      <c r="AX20" t="s">
        <v>76</v>
      </c>
      <c r="AY20" s="24" t="s">
        <v>1565</v>
      </c>
      <c r="BA20" t="s">
        <v>1253</v>
      </c>
      <c r="BG20">
        <v>500</v>
      </c>
      <c r="BH20">
        <v>505</v>
      </c>
      <c r="BI20" t="s">
        <v>1252</v>
      </c>
      <c r="BJ20" t="s">
        <v>1404</v>
      </c>
      <c r="BK20">
        <v>1</v>
      </c>
    </row>
    <row r="21" spans="1:63" x14ac:dyDescent="0.25">
      <c r="A21" t="s">
        <v>1566</v>
      </c>
      <c r="D21">
        <v>214777132</v>
      </c>
      <c r="E21" t="s">
        <v>1215</v>
      </c>
      <c r="G21" t="s">
        <v>1251</v>
      </c>
      <c r="H21">
        <v>91017</v>
      </c>
      <c r="I21" t="s">
        <v>1254</v>
      </c>
      <c r="J21" t="s">
        <v>1252</v>
      </c>
      <c r="K21" t="s">
        <v>1404</v>
      </c>
      <c r="L21" t="s">
        <v>1426</v>
      </c>
      <c r="M21" t="s">
        <v>1250</v>
      </c>
      <c r="O21" s="4">
        <v>43746</v>
      </c>
      <c r="P21" s="4">
        <v>43746</v>
      </c>
      <c r="R21" t="s">
        <v>74</v>
      </c>
      <c r="S21">
        <v>-131000</v>
      </c>
      <c r="T21">
        <v>-131000</v>
      </c>
      <c r="W21">
        <v>-129989.859</v>
      </c>
      <c r="Y21">
        <v>1</v>
      </c>
      <c r="Z21" t="s">
        <v>75</v>
      </c>
      <c r="AE21" t="s">
        <v>165</v>
      </c>
      <c r="AF21">
        <v>62.579194065998301</v>
      </c>
      <c r="AG21">
        <v>-62.610111019996097</v>
      </c>
      <c r="AH21">
        <v>0</v>
      </c>
      <c r="AI21">
        <v>0</v>
      </c>
      <c r="AJ21">
        <v>-1.52957195600902</v>
      </c>
      <c r="AK21">
        <v>100</v>
      </c>
      <c r="AL21" t="s">
        <v>1567</v>
      </c>
      <c r="AO21" t="s">
        <v>92</v>
      </c>
      <c r="AP21" t="s">
        <v>93</v>
      </c>
      <c r="AQ21" t="s">
        <v>1568</v>
      </c>
      <c r="AT21">
        <v>-805.66129999999998</v>
      </c>
      <c r="AU21">
        <v>393</v>
      </c>
      <c r="AX21" t="s">
        <v>76</v>
      </c>
      <c r="AY21" s="24" t="s">
        <v>1569</v>
      </c>
      <c r="BA21" t="s">
        <v>1253</v>
      </c>
      <c r="BG21">
        <v>500</v>
      </c>
      <c r="BH21">
        <v>505</v>
      </c>
      <c r="BI21" t="s">
        <v>1252</v>
      </c>
      <c r="BJ21" t="s">
        <v>1404</v>
      </c>
      <c r="BK21">
        <v>1</v>
      </c>
    </row>
    <row r="22" spans="1:63" x14ac:dyDescent="0.25">
      <c r="A22" t="s">
        <v>1570</v>
      </c>
      <c r="D22">
        <v>214777133</v>
      </c>
      <c r="E22" t="s">
        <v>1215</v>
      </c>
      <c r="G22" t="s">
        <v>1251</v>
      </c>
      <c r="H22">
        <v>91017</v>
      </c>
      <c r="I22" t="s">
        <v>1254</v>
      </c>
      <c r="J22" t="s">
        <v>1252</v>
      </c>
      <c r="K22" t="s">
        <v>1404</v>
      </c>
      <c r="L22" t="s">
        <v>1426</v>
      </c>
      <c r="M22" t="s">
        <v>1250</v>
      </c>
      <c r="O22" s="4">
        <v>42835</v>
      </c>
      <c r="P22" s="4">
        <v>42835</v>
      </c>
      <c r="R22" t="s">
        <v>74</v>
      </c>
      <c r="S22">
        <v>-45000</v>
      </c>
      <c r="T22">
        <v>-45000</v>
      </c>
      <c r="W22">
        <v>-44827.199999999997</v>
      </c>
      <c r="Y22">
        <v>1</v>
      </c>
      <c r="Z22" t="s">
        <v>75</v>
      </c>
      <c r="AE22" t="s">
        <v>165</v>
      </c>
      <c r="AF22">
        <v>11.247620076297601</v>
      </c>
      <c r="AG22">
        <v>-11.250455173503701</v>
      </c>
      <c r="AH22">
        <v>0</v>
      </c>
      <c r="AI22">
        <v>0</v>
      </c>
      <c r="AJ22">
        <v>-0.28256210810650401</v>
      </c>
      <c r="AK22">
        <v>100</v>
      </c>
      <c r="AL22" t="s">
        <v>1571</v>
      </c>
      <c r="AO22" t="s">
        <v>92</v>
      </c>
      <c r="AP22" t="s">
        <v>93</v>
      </c>
      <c r="AQ22" t="s">
        <v>1572</v>
      </c>
      <c r="AT22">
        <v>-110.1306</v>
      </c>
      <c r="AU22">
        <v>135</v>
      </c>
      <c r="AX22" t="s">
        <v>76</v>
      </c>
      <c r="AY22" s="24" t="s">
        <v>1573</v>
      </c>
      <c r="BA22" t="s">
        <v>1253</v>
      </c>
      <c r="BG22">
        <v>500</v>
      </c>
      <c r="BH22">
        <v>505</v>
      </c>
      <c r="BI22" t="s">
        <v>1252</v>
      </c>
      <c r="BJ22" t="s">
        <v>1404</v>
      </c>
      <c r="BK22">
        <v>1</v>
      </c>
    </row>
    <row r="23" spans="1:63" x14ac:dyDescent="0.25">
      <c r="A23" t="s">
        <v>1574</v>
      </c>
      <c r="D23">
        <v>214777135</v>
      </c>
      <c r="E23" t="s">
        <v>1215</v>
      </c>
      <c r="G23" t="s">
        <v>1251</v>
      </c>
      <c r="H23">
        <v>91017</v>
      </c>
      <c r="I23" t="s">
        <v>1254</v>
      </c>
      <c r="J23" t="s">
        <v>1252</v>
      </c>
      <c r="K23" t="s">
        <v>1404</v>
      </c>
      <c r="L23" t="s">
        <v>1575</v>
      </c>
      <c r="M23" t="s">
        <v>1250</v>
      </c>
      <c r="O23" s="4">
        <v>42654</v>
      </c>
      <c r="P23" s="4">
        <v>42654</v>
      </c>
      <c r="R23" t="s">
        <v>74</v>
      </c>
      <c r="S23">
        <v>-75000</v>
      </c>
      <c r="T23">
        <v>-75000</v>
      </c>
      <c r="W23">
        <v>-74852.399999999994</v>
      </c>
      <c r="Y23">
        <v>1</v>
      </c>
      <c r="Z23" t="s">
        <v>75</v>
      </c>
      <c r="AE23" t="s">
        <v>165</v>
      </c>
      <c r="AF23">
        <v>15.1595956634992</v>
      </c>
      <c r="AG23">
        <v>-15.162674087099701</v>
      </c>
      <c r="AH23">
        <v>0</v>
      </c>
      <c r="AI23">
        <v>0</v>
      </c>
      <c r="AJ23">
        <v>-0.65546035590523399</v>
      </c>
      <c r="AK23">
        <v>100</v>
      </c>
      <c r="AL23" t="s">
        <v>1576</v>
      </c>
      <c r="AO23" t="s">
        <v>92</v>
      </c>
      <c r="AP23" t="s">
        <v>93</v>
      </c>
      <c r="AQ23" t="s">
        <v>1577</v>
      </c>
      <c r="AT23">
        <v>-108.4182</v>
      </c>
      <c r="AU23">
        <v>225</v>
      </c>
      <c r="AX23" t="s">
        <v>76</v>
      </c>
      <c r="AY23" s="24" t="s">
        <v>1578</v>
      </c>
      <c r="BA23" t="s">
        <v>1253</v>
      </c>
      <c r="BG23">
        <v>500</v>
      </c>
      <c r="BH23">
        <v>505</v>
      </c>
      <c r="BI23" t="s">
        <v>1252</v>
      </c>
      <c r="BJ23" t="s">
        <v>1404</v>
      </c>
      <c r="BK23">
        <v>1</v>
      </c>
    </row>
    <row r="24" spans="1:63" x14ac:dyDescent="0.25">
      <c r="A24" t="s">
        <v>1579</v>
      </c>
      <c r="D24">
        <v>214777136</v>
      </c>
      <c r="E24" t="s">
        <v>1215</v>
      </c>
      <c r="G24" t="s">
        <v>1251</v>
      </c>
      <c r="H24">
        <v>91017</v>
      </c>
      <c r="I24" t="s">
        <v>1254</v>
      </c>
      <c r="J24" t="s">
        <v>1252</v>
      </c>
      <c r="K24" t="s">
        <v>1404</v>
      </c>
      <c r="L24" t="s">
        <v>1575</v>
      </c>
      <c r="M24" t="s">
        <v>1250</v>
      </c>
      <c r="O24" s="4">
        <v>43382</v>
      </c>
      <c r="P24" s="4">
        <v>43382</v>
      </c>
      <c r="R24" t="s">
        <v>74</v>
      </c>
      <c r="S24">
        <v>-65000</v>
      </c>
      <c r="T24">
        <v>-65000</v>
      </c>
      <c r="W24">
        <v>-64624.95</v>
      </c>
      <c r="Y24">
        <v>1</v>
      </c>
      <c r="Z24" t="s">
        <v>75</v>
      </c>
      <c r="AE24" t="s">
        <v>165</v>
      </c>
      <c r="AF24">
        <v>25.307112339898602</v>
      </c>
      <c r="AG24">
        <v>-25.317190198496998</v>
      </c>
      <c r="AH24">
        <v>0</v>
      </c>
      <c r="AI24">
        <v>0</v>
      </c>
      <c r="AJ24">
        <v>-0.73592984209972201</v>
      </c>
      <c r="AK24">
        <v>100</v>
      </c>
      <c r="AL24" t="s">
        <v>1580</v>
      </c>
      <c r="AO24" t="s">
        <v>92</v>
      </c>
      <c r="AP24" t="s">
        <v>93</v>
      </c>
      <c r="AQ24" t="s">
        <v>1581</v>
      </c>
      <c r="AT24">
        <v>-350.88380000000001</v>
      </c>
      <c r="AU24">
        <v>195</v>
      </c>
      <c r="AX24" t="s">
        <v>76</v>
      </c>
      <c r="AY24" s="24" t="s">
        <v>1582</v>
      </c>
      <c r="BA24" t="s">
        <v>1253</v>
      </c>
      <c r="BG24">
        <v>500</v>
      </c>
      <c r="BH24">
        <v>505</v>
      </c>
      <c r="BI24" t="s">
        <v>1252</v>
      </c>
      <c r="BJ24" t="s">
        <v>1404</v>
      </c>
      <c r="BK24">
        <v>1</v>
      </c>
    </row>
    <row r="25" spans="1:63" x14ac:dyDescent="0.25">
      <c r="A25" t="s">
        <v>1583</v>
      </c>
      <c r="D25">
        <v>214777141</v>
      </c>
      <c r="E25" t="s">
        <v>1215</v>
      </c>
      <c r="G25" t="s">
        <v>1251</v>
      </c>
      <c r="H25">
        <v>91017</v>
      </c>
      <c r="I25" t="s">
        <v>1254</v>
      </c>
      <c r="J25" t="s">
        <v>1252</v>
      </c>
      <c r="K25" t="s">
        <v>1404</v>
      </c>
      <c r="L25" t="s">
        <v>1584</v>
      </c>
      <c r="M25" t="s">
        <v>1250</v>
      </c>
      <c r="O25" s="4">
        <v>43753</v>
      </c>
      <c r="P25" s="4">
        <v>43753</v>
      </c>
      <c r="R25" t="s">
        <v>74</v>
      </c>
      <c r="S25">
        <v>-26000</v>
      </c>
      <c r="T25">
        <v>-26000</v>
      </c>
      <c r="W25">
        <v>-25710.62</v>
      </c>
      <c r="Y25">
        <v>1</v>
      </c>
      <c r="Z25" t="s">
        <v>75</v>
      </c>
      <c r="AE25" t="s">
        <v>165</v>
      </c>
      <c r="AF25">
        <v>12.4005986554985</v>
      </c>
      <c r="AG25">
        <v>-12.406742947299801</v>
      </c>
      <c r="AH25">
        <v>0</v>
      </c>
      <c r="AI25">
        <v>0</v>
      </c>
      <c r="AJ25">
        <v>-0.414653638599702</v>
      </c>
      <c r="AK25">
        <v>100</v>
      </c>
      <c r="AL25" t="s">
        <v>1585</v>
      </c>
      <c r="AO25" t="s">
        <v>92</v>
      </c>
      <c r="AP25" t="s">
        <v>93</v>
      </c>
      <c r="AQ25" t="s">
        <v>1586</v>
      </c>
      <c r="AT25">
        <v>-159.46969999999999</v>
      </c>
      <c r="AU25">
        <v>78</v>
      </c>
      <c r="AX25" t="s">
        <v>76</v>
      </c>
      <c r="AY25" s="24" t="s">
        <v>1587</v>
      </c>
      <c r="BA25" t="s">
        <v>1253</v>
      </c>
      <c r="BG25">
        <v>500</v>
      </c>
      <c r="BH25">
        <v>505</v>
      </c>
      <c r="BI25" t="s">
        <v>1252</v>
      </c>
      <c r="BJ25" t="s">
        <v>1404</v>
      </c>
      <c r="BK25">
        <v>1</v>
      </c>
    </row>
    <row r="26" spans="1:63" x14ac:dyDescent="0.25">
      <c r="A26" t="s">
        <v>1588</v>
      </c>
      <c r="D26">
        <v>214777106</v>
      </c>
      <c r="E26" t="s">
        <v>1215</v>
      </c>
      <c r="G26" t="s">
        <v>1251</v>
      </c>
      <c r="H26">
        <v>91017</v>
      </c>
      <c r="I26" t="s">
        <v>1254</v>
      </c>
      <c r="J26" t="s">
        <v>1252</v>
      </c>
      <c r="K26" t="s">
        <v>1405</v>
      </c>
      <c r="L26" t="s">
        <v>1465</v>
      </c>
      <c r="M26" t="s">
        <v>1250</v>
      </c>
      <c r="O26" s="4">
        <v>42011</v>
      </c>
      <c r="P26" s="4">
        <v>42011</v>
      </c>
      <c r="R26" t="s">
        <v>74</v>
      </c>
      <c r="S26">
        <v>-249000</v>
      </c>
      <c r="T26">
        <v>-249000</v>
      </c>
      <c r="W26">
        <v>-248910.36</v>
      </c>
      <c r="Y26">
        <v>1</v>
      </c>
      <c r="Z26" t="s">
        <v>75</v>
      </c>
      <c r="AE26" t="s">
        <v>1406</v>
      </c>
      <c r="AF26">
        <v>6.8193685009900902</v>
      </c>
      <c r="AG26">
        <v>-6.8195553360274097</v>
      </c>
      <c r="AH26">
        <v>0</v>
      </c>
      <c r="AI26">
        <v>0</v>
      </c>
      <c r="AJ26">
        <v>-1.7568323370069301</v>
      </c>
      <c r="AK26">
        <v>100</v>
      </c>
      <c r="AL26" t="s">
        <v>1589</v>
      </c>
      <c r="AO26" t="s">
        <v>92</v>
      </c>
      <c r="AP26" t="s">
        <v>93</v>
      </c>
      <c r="AQ26" t="s">
        <v>1590</v>
      </c>
      <c r="AT26">
        <v>-21.2865</v>
      </c>
      <c r="AU26">
        <v>747</v>
      </c>
      <c r="AX26" t="s">
        <v>76</v>
      </c>
      <c r="AY26" s="24" t="s">
        <v>1591</v>
      </c>
      <c r="BA26" t="s">
        <v>1253</v>
      </c>
      <c r="BG26">
        <v>500</v>
      </c>
      <c r="BH26">
        <v>506</v>
      </c>
      <c r="BI26" t="s">
        <v>1252</v>
      </c>
      <c r="BJ26" t="s">
        <v>1405</v>
      </c>
      <c r="BK26">
        <v>1</v>
      </c>
    </row>
    <row r="27" spans="1:63" x14ac:dyDescent="0.25">
      <c r="A27" t="s">
        <v>1592</v>
      </c>
      <c r="D27">
        <v>214777107</v>
      </c>
      <c r="E27" t="s">
        <v>1215</v>
      </c>
      <c r="G27" t="s">
        <v>1251</v>
      </c>
      <c r="H27">
        <v>91017</v>
      </c>
      <c r="I27" t="s">
        <v>1254</v>
      </c>
      <c r="J27" t="s">
        <v>1252</v>
      </c>
      <c r="K27" t="s">
        <v>1405</v>
      </c>
      <c r="L27" t="s">
        <v>1465</v>
      </c>
      <c r="M27" t="s">
        <v>1250</v>
      </c>
      <c r="O27" s="4">
        <v>42011</v>
      </c>
      <c r="P27" s="4">
        <v>42011</v>
      </c>
      <c r="R27" t="s">
        <v>74</v>
      </c>
      <c r="S27">
        <v>-29000</v>
      </c>
      <c r="T27">
        <v>-29000</v>
      </c>
      <c r="W27">
        <v>-28996.52</v>
      </c>
      <c r="Y27">
        <v>1</v>
      </c>
      <c r="Z27" t="s">
        <v>75</v>
      </c>
      <c r="AE27" t="s">
        <v>1406</v>
      </c>
      <c r="AF27">
        <v>0.79441432300154702</v>
      </c>
      <c r="AG27">
        <v>-0.79443608810106503</v>
      </c>
      <c r="AH27">
        <v>0</v>
      </c>
      <c r="AI27">
        <v>0</v>
      </c>
      <c r="AJ27">
        <v>-0.206300679899869</v>
      </c>
      <c r="AK27">
        <v>100</v>
      </c>
      <c r="AL27" t="s">
        <v>1593</v>
      </c>
      <c r="AO27" t="s">
        <v>92</v>
      </c>
      <c r="AP27" t="s">
        <v>93</v>
      </c>
      <c r="AQ27" t="s">
        <v>1594</v>
      </c>
      <c r="AT27">
        <v>-2.4796999999999998</v>
      </c>
      <c r="AU27">
        <v>87</v>
      </c>
      <c r="AX27" t="s">
        <v>76</v>
      </c>
      <c r="AY27" s="24" t="s">
        <v>1595</v>
      </c>
      <c r="BA27" t="s">
        <v>1253</v>
      </c>
      <c r="BG27">
        <v>500</v>
      </c>
      <c r="BH27">
        <v>506</v>
      </c>
      <c r="BI27" t="s">
        <v>1252</v>
      </c>
      <c r="BJ27" t="s">
        <v>1405</v>
      </c>
      <c r="BK27">
        <v>1</v>
      </c>
    </row>
    <row r="28" spans="1:63" x14ac:dyDescent="0.25">
      <c r="A28" t="s">
        <v>1596</v>
      </c>
      <c r="D28">
        <v>214777108</v>
      </c>
      <c r="E28" t="s">
        <v>1215</v>
      </c>
      <c r="G28" t="s">
        <v>1251</v>
      </c>
      <c r="H28">
        <v>91017</v>
      </c>
      <c r="I28" t="s">
        <v>1254</v>
      </c>
      <c r="J28" t="s">
        <v>1252</v>
      </c>
      <c r="K28" t="s">
        <v>1405</v>
      </c>
      <c r="L28" t="s">
        <v>1597</v>
      </c>
      <c r="M28" t="s">
        <v>1250</v>
      </c>
      <c r="O28" s="4">
        <v>42102</v>
      </c>
      <c r="P28" s="4">
        <v>42102</v>
      </c>
      <c r="R28" t="s">
        <v>74</v>
      </c>
      <c r="S28">
        <v>-200000</v>
      </c>
      <c r="T28">
        <v>-200000</v>
      </c>
      <c r="W28">
        <v>-199950</v>
      </c>
      <c r="Y28">
        <v>1</v>
      </c>
      <c r="Z28" t="s">
        <v>75</v>
      </c>
      <c r="AE28" t="s">
        <v>1406</v>
      </c>
      <c r="AF28">
        <v>10.462863229011401</v>
      </c>
      <c r="AG28">
        <v>-10.463410753000099</v>
      </c>
      <c r="AH28">
        <v>0</v>
      </c>
      <c r="AI28">
        <v>0</v>
      </c>
      <c r="AJ28">
        <v>-1.1488759359926899</v>
      </c>
      <c r="AK28">
        <v>100</v>
      </c>
      <c r="AL28" t="s">
        <v>1598</v>
      </c>
      <c r="AO28" t="s">
        <v>92</v>
      </c>
      <c r="AP28" t="s">
        <v>93</v>
      </c>
      <c r="AQ28" t="s">
        <v>1599</v>
      </c>
      <c r="AT28">
        <v>-82.277000000000001</v>
      </c>
      <c r="AU28">
        <v>600</v>
      </c>
      <c r="AX28" t="s">
        <v>76</v>
      </c>
      <c r="AY28" s="24" t="s">
        <v>1600</v>
      </c>
      <c r="BA28" t="s">
        <v>1253</v>
      </c>
      <c r="BG28">
        <v>500</v>
      </c>
      <c r="BH28">
        <v>506</v>
      </c>
      <c r="BI28" t="s">
        <v>1252</v>
      </c>
      <c r="BJ28" t="s">
        <v>1405</v>
      </c>
      <c r="BK28">
        <v>1</v>
      </c>
    </row>
    <row r="29" spans="1:63" x14ac:dyDescent="0.25">
      <c r="A29" t="s">
        <v>1601</v>
      </c>
      <c r="D29">
        <v>214777109</v>
      </c>
      <c r="E29" t="s">
        <v>1215</v>
      </c>
      <c r="G29" t="s">
        <v>1251</v>
      </c>
      <c r="H29">
        <v>91017</v>
      </c>
      <c r="I29" t="s">
        <v>1254</v>
      </c>
      <c r="J29" t="s">
        <v>1252</v>
      </c>
      <c r="K29" t="s">
        <v>1405</v>
      </c>
      <c r="L29" t="s">
        <v>1597</v>
      </c>
      <c r="M29" t="s">
        <v>1250</v>
      </c>
      <c r="O29" s="4">
        <v>42285</v>
      </c>
      <c r="P29" s="4">
        <v>42285</v>
      </c>
      <c r="R29" t="s">
        <v>74</v>
      </c>
      <c r="S29">
        <v>-90000</v>
      </c>
      <c r="T29">
        <v>-90000</v>
      </c>
      <c r="W29">
        <v>-89992.8</v>
      </c>
      <c r="Y29">
        <v>1</v>
      </c>
      <c r="Z29" t="s">
        <v>75</v>
      </c>
      <c r="AE29" t="s">
        <v>1406</v>
      </c>
      <c r="AF29">
        <v>9.2207076432969206</v>
      </c>
      <c r="AG29">
        <v>-9.2216524984978605</v>
      </c>
      <c r="AH29">
        <v>0</v>
      </c>
      <c r="AI29">
        <v>0</v>
      </c>
      <c r="AJ29">
        <v>-0.59628602769225802</v>
      </c>
      <c r="AK29">
        <v>100</v>
      </c>
      <c r="AL29" t="s">
        <v>1602</v>
      </c>
      <c r="AO29" t="s">
        <v>92</v>
      </c>
      <c r="AP29" t="s">
        <v>93</v>
      </c>
      <c r="AQ29" t="s">
        <v>1603</v>
      </c>
      <c r="AT29">
        <v>-151.1319</v>
      </c>
      <c r="AU29">
        <v>270</v>
      </c>
      <c r="AX29" t="s">
        <v>76</v>
      </c>
      <c r="AY29" s="24" t="s">
        <v>1604</v>
      </c>
      <c r="BA29" t="s">
        <v>1253</v>
      </c>
      <c r="BG29">
        <v>500</v>
      </c>
      <c r="BH29">
        <v>506</v>
      </c>
      <c r="BI29" t="s">
        <v>1252</v>
      </c>
      <c r="BJ29" t="s">
        <v>1405</v>
      </c>
      <c r="BK29">
        <v>1</v>
      </c>
    </row>
    <row r="30" spans="1:63" x14ac:dyDescent="0.25">
      <c r="A30" t="s">
        <v>1605</v>
      </c>
      <c r="D30">
        <v>214777110</v>
      </c>
      <c r="E30" t="s">
        <v>1215</v>
      </c>
      <c r="G30" t="s">
        <v>1251</v>
      </c>
      <c r="H30">
        <v>91017</v>
      </c>
      <c r="I30" t="s">
        <v>1254</v>
      </c>
      <c r="J30" t="s">
        <v>1252</v>
      </c>
      <c r="K30" t="s">
        <v>1405</v>
      </c>
      <c r="L30" t="s">
        <v>1597</v>
      </c>
      <c r="M30" t="s">
        <v>1250</v>
      </c>
      <c r="O30" s="4">
        <v>42193</v>
      </c>
      <c r="P30" s="4">
        <v>42193</v>
      </c>
      <c r="R30" t="s">
        <v>74</v>
      </c>
      <c r="S30">
        <v>-571000</v>
      </c>
      <c r="T30">
        <v>-571000</v>
      </c>
      <c r="W30">
        <v>-570971.44999999995</v>
      </c>
      <c r="Y30">
        <v>1</v>
      </c>
      <c r="Z30" t="s">
        <v>75</v>
      </c>
      <c r="AE30" t="s">
        <v>1406</v>
      </c>
      <c r="AF30">
        <v>44.111706594005199</v>
      </c>
      <c r="AG30">
        <v>-44.115114809013903</v>
      </c>
      <c r="AH30">
        <v>0</v>
      </c>
      <c r="AI30">
        <v>0</v>
      </c>
      <c r="AJ30">
        <v>-2.4579825050895998</v>
      </c>
      <c r="AK30">
        <v>100</v>
      </c>
      <c r="AL30" t="s">
        <v>1606</v>
      </c>
      <c r="AO30" t="s">
        <v>92</v>
      </c>
      <c r="AP30" t="s">
        <v>93</v>
      </c>
      <c r="AQ30" t="s">
        <v>1607</v>
      </c>
      <c r="AT30">
        <v>-349.04</v>
      </c>
      <c r="AU30">
        <v>1713</v>
      </c>
      <c r="AX30" t="s">
        <v>76</v>
      </c>
      <c r="AY30" s="24" t="s">
        <v>1608</v>
      </c>
      <c r="BA30" t="s">
        <v>1253</v>
      </c>
      <c r="BG30">
        <v>500</v>
      </c>
      <c r="BH30">
        <v>506</v>
      </c>
      <c r="BI30" t="s">
        <v>1252</v>
      </c>
      <c r="BJ30" t="s">
        <v>1405</v>
      </c>
      <c r="BK30">
        <v>1</v>
      </c>
    </row>
    <row r="31" spans="1:63" x14ac:dyDescent="0.25">
      <c r="A31" t="s">
        <v>1609</v>
      </c>
      <c r="D31">
        <v>214777111</v>
      </c>
      <c r="E31" t="s">
        <v>1215</v>
      </c>
      <c r="G31" t="s">
        <v>1251</v>
      </c>
      <c r="H31">
        <v>91017</v>
      </c>
      <c r="I31" t="s">
        <v>1254</v>
      </c>
      <c r="J31" t="s">
        <v>1252</v>
      </c>
      <c r="K31" t="s">
        <v>1405</v>
      </c>
      <c r="L31" t="s">
        <v>1597</v>
      </c>
      <c r="M31" t="s">
        <v>1250</v>
      </c>
      <c r="O31" s="4">
        <v>42012</v>
      </c>
      <c r="P31" s="4">
        <v>42012</v>
      </c>
      <c r="R31" t="s">
        <v>74</v>
      </c>
      <c r="S31">
        <v>-195000</v>
      </c>
      <c r="T31">
        <v>-195000</v>
      </c>
      <c r="W31">
        <v>-194951.25</v>
      </c>
      <c r="Y31">
        <v>1</v>
      </c>
      <c r="Z31" t="s">
        <v>75</v>
      </c>
      <c r="AE31" t="s">
        <v>1406</v>
      </c>
      <c r="AF31">
        <v>5.3944668020121798</v>
      </c>
      <c r="AG31">
        <v>-5.3946160759951498</v>
      </c>
      <c r="AH31">
        <v>0</v>
      </c>
      <c r="AI31">
        <v>0</v>
      </c>
      <c r="AJ31">
        <v>-1.4225073679990601</v>
      </c>
      <c r="AK31">
        <v>100</v>
      </c>
      <c r="AL31" t="s">
        <v>1598</v>
      </c>
      <c r="AO31" t="s">
        <v>92</v>
      </c>
      <c r="AP31" t="s">
        <v>93</v>
      </c>
      <c r="AQ31" t="s">
        <v>1610</v>
      </c>
      <c r="AT31">
        <v>-17.0305</v>
      </c>
      <c r="AU31">
        <v>585</v>
      </c>
      <c r="AX31" t="s">
        <v>76</v>
      </c>
      <c r="AY31" s="24" t="s">
        <v>1611</v>
      </c>
      <c r="BA31" t="s">
        <v>1253</v>
      </c>
      <c r="BG31">
        <v>500</v>
      </c>
      <c r="BH31">
        <v>506</v>
      </c>
      <c r="BI31" t="s">
        <v>1252</v>
      </c>
      <c r="BJ31" t="s">
        <v>1405</v>
      </c>
      <c r="BK31">
        <v>1</v>
      </c>
    </row>
    <row r="32" spans="1:63" x14ac:dyDescent="0.25">
      <c r="A32" t="s">
        <v>1612</v>
      </c>
      <c r="D32">
        <v>214777116</v>
      </c>
      <c r="E32" t="s">
        <v>1215</v>
      </c>
      <c r="G32" t="s">
        <v>1251</v>
      </c>
      <c r="H32">
        <v>91017</v>
      </c>
      <c r="I32" t="s">
        <v>1254</v>
      </c>
      <c r="J32" t="s">
        <v>1252</v>
      </c>
      <c r="K32" t="s">
        <v>1405</v>
      </c>
      <c r="L32" t="s">
        <v>1613</v>
      </c>
      <c r="M32" t="s">
        <v>1250</v>
      </c>
      <c r="O32" s="4">
        <v>41990</v>
      </c>
      <c r="P32" s="4">
        <v>41990</v>
      </c>
      <c r="R32" t="s">
        <v>74</v>
      </c>
      <c r="S32">
        <v>-495000</v>
      </c>
      <c r="T32">
        <v>-495000</v>
      </c>
      <c r="W32">
        <v>-494792.1</v>
      </c>
      <c r="Y32">
        <v>1</v>
      </c>
      <c r="Z32" t="s">
        <v>75</v>
      </c>
      <c r="AE32" t="s">
        <v>1406</v>
      </c>
      <c r="AF32">
        <v>10.709082983958099</v>
      </c>
      <c r="AG32">
        <v>-10.7093147720443</v>
      </c>
      <c r="AH32">
        <v>0</v>
      </c>
      <c r="AI32">
        <v>0</v>
      </c>
      <c r="AJ32">
        <v>-3.2262390360119801</v>
      </c>
      <c r="AK32">
        <v>100</v>
      </c>
      <c r="AL32" t="s">
        <v>1614</v>
      </c>
      <c r="AO32" t="s">
        <v>92</v>
      </c>
      <c r="AP32" t="s">
        <v>93</v>
      </c>
      <c r="AQ32" t="s">
        <v>1615</v>
      </c>
      <c r="AT32">
        <v>-31.645600000000002</v>
      </c>
      <c r="AU32">
        <v>1485</v>
      </c>
      <c r="AX32" t="s">
        <v>76</v>
      </c>
      <c r="AY32" s="24" t="s">
        <v>1616</v>
      </c>
      <c r="BA32" t="s">
        <v>1253</v>
      </c>
      <c r="BG32">
        <v>500</v>
      </c>
      <c r="BH32">
        <v>506</v>
      </c>
      <c r="BI32" t="s">
        <v>1252</v>
      </c>
      <c r="BJ32" t="s">
        <v>1405</v>
      </c>
      <c r="BK32">
        <v>1</v>
      </c>
    </row>
    <row r="33" spans="1:63" x14ac:dyDescent="0.25">
      <c r="A33" t="s">
        <v>1617</v>
      </c>
      <c r="D33">
        <v>214777118</v>
      </c>
      <c r="E33" t="s">
        <v>1215</v>
      </c>
      <c r="G33" t="s">
        <v>1251</v>
      </c>
      <c r="H33">
        <v>91017</v>
      </c>
      <c r="I33" t="s">
        <v>1254</v>
      </c>
      <c r="J33" t="s">
        <v>1252</v>
      </c>
      <c r="K33" t="s">
        <v>1405</v>
      </c>
      <c r="L33" t="s">
        <v>1468</v>
      </c>
      <c r="M33" t="s">
        <v>1250</v>
      </c>
      <c r="O33" s="4">
        <v>42285</v>
      </c>
      <c r="P33" s="4">
        <v>42285</v>
      </c>
      <c r="R33" t="s">
        <v>74</v>
      </c>
      <c r="S33">
        <v>-2000</v>
      </c>
      <c r="T33">
        <v>-2000</v>
      </c>
      <c r="W33">
        <v>-1996.84</v>
      </c>
      <c r="Y33">
        <v>1</v>
      </c>
      <c r="Z33" t="s">
        <v>75</v>
      </c>
      <c r="AE33" t="s">
        <v>1406</v>
      </c>
      <c r="AF33">
        <v>0.20459723279986999</v>
      </c>
      <c r="AG33">
        <v>-0.204618198099979</v>
      </c>
      <c r="AH33">
        <v>0</v>
      </c>
      <c r="AI33">
        <v>0</v>
      </c>
      <c r="AJ33" s="96">
        <v>-1.3261546400144699E-2</v>
      </c>
      <c r="AK33">
        <v>100</v>
      </c>
      <c r="AL33" t="s">
        <v>1618</v>
      </c>
      <c r="AO33" t="s">
        <v>92</v>
      </c>
      <c r="AP33" t="s">
        <v>93</v>
      </c>
      <c r="AQ33" t="s">
        <v>1619</v>
      </c>
      <c r="AT33">
        <v>-3.3534000000000002</v>
      </c>
      <c r="AU33">
        <v>6</v>
      </c>
      <c r="AX33" t="s">
        <v>76</v>
      </c>
      <c r="AY33" s="24" t="s">
        <v>1620</v>
      </c>
      <c r="BA33" t="s">
        <v>1253</v>
      </c>
      <c r="BG33">
        <v>500</v>
      </c>
      <c r="BH33">
        <v>506</v>
      </c>
      <c r="BI33" t="s">
        <v>1252</v>
      </c>
      <c r="BJ33" t="s">
        <v>1405</v>
      </c>
      <c r="BK33">
        <v>1</v>
      </c>
    </row>
    <row r="34" spans="1:63" x14ac:dyDescent="0.25">
      <c r="A34" t="s">
        <v>1621</v>
      </c>
      <c r="D34">
        <v>214777120</v>
      </c>
      <c r="E34" t="s">
        <v>1215</v>
      </c>
      <c r="G34" t="s">
        <v>1251</v>
      </c>
      <c r="H34">
        <v>91017</v>
      </c>
      <c r="I34" t="s">
        <v>1254</v>
      </c>
      <c r="J34" t="s">
        <v>1252</v>
      </c>
      <c r="K34" t="s">
        <v>1405</v>
      </c>
      <c r="L34" t="s">
        <v>1468</v>
      </c>
      <c r="M34" t="s">
        <v>1250</v>
      </c>
      <c r="O34" s="4">
        <v>42285</v>
      </c>
      <c r="P34" s="4">
        <v>42285</v>
      </c>
      <c r="R34" t="s">
        <v>74</v>
      </c>
      <c r="S34">
        <v>-500000</v>
      </c>
      <c r="T34">
        <v>-500000</v>
      </c>
      <c r="W34">
        <v>-499461</v>
      </c>
      <c r="Y34">
        <v>1</v>
      </c>
      <c r="Z34" t="s">
        <v>75</v>
      </c>
      <c r="AE34" t="s">
        <v>1406</v>
      </c>
      <c r="AF34">
        <v>51.175025783013602</v>
      </c>
      <c r="AG34">
        <v>-51.180269739008502</v>
      </c>
      <c r="AH34">
        <v>0</v>
      </c>
      <c r="AI34">
        <v>0</v>
      </c>
      <c r="AJ34">
        <v>-3.3118230359977998</v>
      </c>
      <c r="AK34">
        <v>100</v>
      </c>
      <c r="AL34" t="s">
        <v>1622</v>
      </c>
      <c r="AO34" t="s">
        <v>92</v>
      </c>
      <c r="AP34" t="s">
        <v>93</v>
      </c>
      <c r="AQ34" t="s">
        <v>1623</v>
      </c>
      <c r="AT34">
        <v>-838.78359999999998</v>
      </c>
      <c r="AU34">
        <v>1500</v>
      </c>
      <c r="AX34" t="s">
        <v>76</v>
      </c>
      <c r="AY34" s="24" t="s">
        <v>1624</v>
      </c>
      <c r="BA34" t="s">
        <v>1253</v>
      </c>
      <c r="BG34">
        <v>500</v>
      </c>
      <c r="BH34">
        <v>506</v>
      </c>
      <c r="BI34" t="s">
        <v>1252</v>
      </c>
      <c r="BJ34" t="s">
        <v>1405</v>
      </c>
      <c r="BK34">
        <v>1</v>
      </c>
    </row>
    <row r="35" spans="1:63" x14ac:dyDescent="0.25">
      <c r="A35" t="s">
        <v>1625</v>
      </c>
      <c r="D35">
        <v>214777122</v>
      </c>
      <c r="E35" t="s">
        <v>1215</v>
      </c>
      <c r="G35" t="s">
        <v>1251</v>
      </c>
      <c r="H35">
        <v>91017</v>
      </c>
      <c r="I35" t="s">
        <v>1254</v>
      </c>
      <c r="J35" t="s">
        <v>1252</v>
      </c>
      <c r="K35" t="s">
        <v>1405</v>
      </c>
      <c r="L35" t="s">
        <v>1464</v>
      </c>
      <c r="M35" t="s">
        <v>1250</v>
      </c>
      <c r="O35" s="4">
        <v>42292</v>
      </c>
      <c r="P35" s="4">
        <v>42292</v>
      </c>
      <c r="R35" t="s">
        <v>74</v>
      </c>
      <c r="S35">
        <v>-498000</v>
      </c>
      <c r="T35">
        <v>-498000</v>
      </c>
      <c r="W35">
        <v>-496685.28</v>
      </c>
      <c r="Y35">
        <v>1</v>
      </c>
      <c r="Z35" t="s">
        <v>75</v>
      </c>
      <c r="AE35" t="s">
        <v>1406</v>
      </c>
      <c r="AF35">
        <v>51.843072713003501</v>
      </c>
      <c r="AG35">
        <v>-51.848484559974203</v>
      </c>
      <c r="AH35">
        <v>0</v>
      </c>
      <c r="AI35">
        <v>0</v>
      </c>
      <c r="AJ35">
        <v>-3.22143398999469</v>
      </c>
      <c r="AK35">
        <v>100</v>
      </c>
      <c r="AL35" t="s">
        <v>1626</v>
      </c>
      <c r="AO35" t="s">
        <v>92</v>
      </c>
      <c r="AP35" t="s">
        <v>93</v>
      </c>
      <c r="AQ35" t="s">
        <v>1627</v>
      </c>
      <c r="AT35">
        <v>-849.7473</v>
      </c>
      <c r="AU35">
        <v>1494</v>
      </c>
      <c r="AX35" t="s">
        <v>76</v>
      </c>
      <c r="AY35" s="24" t="s">
        <v>1628</v>
      </c>
      <c r="BA35" t="s">
        <v>1253</v>
      </c>
      <c r="BG35">
        <v>500</v>
      </c>
      <c r="BH35">
        <v>506</v>
      </c>
      <c r="BI35" t="s">
        <v>1252</v>
      </c>
      <c r="BJ35" t="s">
        <v>1405</v>
      </c>
      <c r="BK35">
        <v>1</v>
      </c>
    </row>
    <row r="36" spans="1:63" x14ac:dyDescent="0.25">
      <c r="A36" t="s">
        <v>1629</v>
      </c>
      <c r="D36">
        <v>214777131</v>
      </c>
      <c r="E36" t="s">
        <v>1215</v>
      </c>
      <c r="G36" t="s">
        <v>1251</v>
      </c>
      <c r="H36">
        <v>91017</v>
      </c>
      <c r="I36" t="s">
        <v>1254</v>
      </c>
      <c r="J36" t="s">
        <v>1252</v>
      </c>
      <c r="K36" t="s">
        <v>1405</v>
      </c>
      <c r="L36" t="s">
        <v>1426</v>
      </c>
      <c r="M36" t="s">
        <v>1250</v>
      </c>
      <c r="O36" s="4">
        <v>42285</v>
      </c>
      <c r="P36" s="4">
        <v>42285</v>
      </c>
      <c r="R36" t="s">
        <v>74</v>
      </c>
      <c r="S36">
        <v>-547000</v>
      </c>
      <c r="T36">
        <v>-547000</v>
      </c>
      <c r="W36">
        <v>-545867.71</v>
      </c>
      <c r="Y36">
        <v>1</v>
      </c>
      <c r="Z36" t="s">
        <v>75</v>
      </c>
      <c r="AE36" t="s">
        <v>1406</v>
      </c>
      <c r="AF36">
        <v>55.929880677955197</v>
      </c>
      <c r="AG36">
        <v>-55.935611869092099</v>
      </c>
      <c r="AH36">
        <v>0</v>
      </c>
      <c r="AI36">
        <v>0</v>
      </c>
      <c r="AJ36">
        <v>-3.6134250920731601</v>
      </c>
      <c r="AK36">
        <v>100</v>
      </c>
      <c r="AL36" t="s">
        <v>1467</v>
      </c>
      <c r="AO36" t="s">
        <v>92</v>
      </c>
      <c r="AP36" t="s">
        <v>93</v>
      </c>
      <c r="AQ36" t="s">
        <v>1630</v>
      </c>
      <c r="AT36">
        <v>-916.71799999999996</v>
      </c>
      <c r="AU36">
        <v>1641</v>
      </c>
      <c r="AX36" t="s">
        <v>76</v>
      </c>
      <c r="AY36" s="24" t="s">
        <v>1631</v>
      </c>
      <c r="BA36" t="s">
        <v>1253</v>
      </c>
      <c r="BG36">
        <v>500</v>
      </c>
      <c r="BH36">
        <v>506</v>
      </c>
      <c r="BI36" t="s">
        <v>1252</v>
      </c>
      <c r="BJ36" t="s">
        <v>1405</v>
      </c>
      <c r="BK36">
        <v>1</v>
      </c>
    </row>
    <row r="37" spans="1:63" x14ac:dyDescent="0.25">
      <c r="A37" t="s">
        <v>1632</v>
      </c>
      <c r="D37">
        <v>214777134</v>
      </c>
      <c r="E37" t="s">
        <v>1215</v>
      </c>
      <c r="G37" t="s">
        <v>1251</v>
      </c>
      <c r="H37">
        <v>91017</v>
      </c>
      <c r="I37" t="s">
        <v>1254</v>
      </c>
      <c r="J37" t="s">
        <v>1252</v>
      </c>
      <c r="K37" t="s">
        <v>1405</v>
      </c>
      <c r="L37" t="s">
        <v>1633</v>
      </c>
      <c r="M37" t="s">
        <v>1250</v>
      </c>
      <c r="O37" s="4">
        <v>42012</v>
      </c>
      <c r="P37" s="4">
        <v>42012</v>
      </c>
      <c r="R37" t="s">
        <v>74</v>
      </c>
      <c r="S37">
        <v>-245000</v>
      </c>
      <c r="T37">
        <v>-245000</v>
      </c>
      <c r="W37">
        <v>-245000</v>
      </c>
      <c r="Y37">
        <v>1</v>
      </c>
      <c r="Z37" t="s">
        <v>75</v>
      </c>
      <c r="AE37" t="s">
        <v>1406</v>
      </c>
      <c r="AF37">
        <v>6.7793582580052298</v>
      </c>
      <c r="AG37">
        <v>-6.7795458539912898</v>
      </c>
      <c r="AH37">
        <v>0</v>
      </c>
      <c r="AI37">
        <v>0</v>
      </c>
      <c r="AJ37">
        <v>-0.87315148400375597</v>
      </c>
      <c r="AK37">
        <v>100</v>
      </c>
      <c r="AL37" t="s">
        <v>1634</v>
      </c>
      <c r="AO37" t="s">
        <v>92</v>
      </c>
      <c r="AP37" t="s">
        <v>93</v>
      </c>
      <c r="AQ37" t="s">
        <v>1635</v>
      </c>
      <c r="AT37">
        <v>-21.4026</v>
      </c>
      <c r="AU37">
        <v>735</v>
      </c>
      <c r="AX37" t="s">
        <v>76</v>
      </c>
      <c r="AY37" s="24" t="s">
        <v>1636</v>
      </c>
      <c r="BA37" t="s">
        <v>1253</v>
      </c>
      <c r="BG37">
        <v>500</v>
      </c>
      <c r="BH37">
        <v>506</v>
      </c>
      <c r="BI37" t="s">
        <v>1252</v>
      </c>
      <c r="BJ37" t="s">
        <v>1405</v>
      </c>
      <c r="BK37">
        <v>1</v>
      </c>
    </row>
    <row r="38" spans="1:63" x14ac:dyDescent="0.25">
      <c r="A38" t="s">
        <v>1637</v>
      </c>
      <c r="D38">
        <v>214777137</v>
      </c>
      <c r="E38" t="s">
        <v>1215</v>
      </c>
      <c r="G38" t="s">
        <v>1251</v>
      </c>
      <c r="H38">
        <v>91017</v>
      </c>
      <c r="I38" t="s">
        <v>1254</v>
      </c>
      <c r="J38" t="s">
        <v>1252</v>
      </c>
      <c r="K38" t="s">
        <v>1405</v>
      </c>
      <c r="L38" t="s">
        <v>1638</v>
      </c>
      <c r="M38" t="s">
        <v>1250</v>
      </c>
      <c r="O38" s="4">
        <v>42012</v>
      </c>
      <c r="P38" s="4">
        <v>42012</v>
      </c>
      <c r="R38" t="s">
        <v>74</v>
      </c>
      <c r="S38">
        <v>-1337000</v>
      </c>
      <c r="T38">
        <v>-1337000</v>
      </c>
      <c r="W38">
        <v>-1336491.94</v>
      </c>
      <c r="Y38">
        <v>1</v>
      </c>
      <c r="Z38" t="s">
        <v>75</v>
      </c>
      <c r="AE38" t="s">
        <v>1406</v>
      </c>
      <c r="AF38">
        <v>36.981868040049498</v>
      </c>
      <c r="AG38">
        <v>-36.9828913901001</v>
      </c>
      <c r="AH38">
        <v>0</v>
      </c>
      <c r="AI38">
        <v>0</v>
      </c>
      <c r="AJ38">
        <v>-9.7924702600576001</v>
      </c>
      <c r="AK38">
        <v>100</v>
      </c>
      <c r="AL38" t="s">
        <v>1639</v>
      </c>
      <c r="AO38" t="s">
        <v>92</v>
      </c>
      <c r="AP38" t="s">
        <v>93</v>
      </c>
      <c r="AQ38" t="s">
        <v>1640</v>
      </c>
      <c r="AT38">
        <v>-116.7527</v>
      </c>
      <c r="AU38">
        <v>4011</v>
      </c>
      <c r="AX38" t="s">
        <v>76</v>
      </c>
      <c r="AY38" s="24" t="s">
        <v>1641</v>
      </c>
      <c r="BA38" t="s">
        <v>1253</v>
      </c>
      <c r="BG38">
        <v>500</v>
      </c>
      <c r="BH38">
        <v>506</v>
      </c>
      <c r="BI38" t="s">
        <v>1252</v>
      </c>
      <c r="BJ38" t="s">
        <v>1405</v>
      </c>
      <c r="BK38">
        <v>1</v>
      </c>
    </row>
    <row r="39" spans="1:63" x14ac:dyDescent="0.25">
      <c r="A39" t="s">
        <v>1642</v>
      </c>
      <c r="D39">
        <v>214777138</v>
      </c>
      <c r="E39" t="s">
        <v>1215</v>
      </c>
      <c r="G39" t="s">
        <v>1251</v>
      </c>
      <c r="H39">
        <v>91017</v>
      </c>
      <c r="I39" t="s">
        <v>1254</v>
      </c>
      <c r="J39" t="s">
        <v>1252</v>
      </c>
      <c r="K39" t="s">
        <v>1405</v>
      </c>
      <c r="L39" t="s">
        <v>1638</v>
      </c>
      <c r="M39" t="s">
        <v>1250</v>
      </c>
      <c r="O39" s="4">
        <v>42102</v>
      </c>
      <c r="P39" s="4">
        <v>42102</v>
      </c>
      <c r="R39" t="s">
        <v>74</v>
      </c>
      <c r="S39">
        <v>-274000</v>
      </c>
      <c r="T39">
        <v>-274000</v>
      </c>
      <c r="W39">
        <v>-273863</v>
      </c>
      <c r="Y39">
        <v>1</v>
      </c>
      <c r="Z39" t="s">
        <v>75</v>
      </c>
      <c r="AE39" t="s">
        <v>1406</v>
      </c>
      <c r="AF39">
        <v>14.3305381970131</v>
      </c>
      <c r="AG39">
        <v>-14.3312881169841</v>
      </c>
      <c r="AH39">
        <v>0</v>
      </c>
      <c r="AI39">
        <v>0</v>
      </c>
      <c r="AJ39">
        <v>-1.5742399960290601</v>
      </c>
      <c r="AK39">
        <v>100</v>
      </c>
      <c r="AL39" t="s">
        <v>1469</v>
      </c>
      <c r="AO39" t="s">
        <v>92</v>
      </c>
      <c r="AP39" t="s">
        <v>93</v>
      </c>
      <c r="AQ39" t="s">
        <v>1643</v>
      </c>
      <c r="AT39">
        <v>-112.6913</v>
      </c>
      <c r="AU39">
        <v>822</v>
      </c>
      <c r="AX39" t="s">
        <v>76</v>
      </c>
      <c r="AY39" s="24" t="s">
        <v>1644</v>
      </c>
      <c r="BA39" t="s">
        <v>1253</v>
      </c>
      <c r="BG39">
        <v>500</v>
      </c>
      <c r="BH39">
        <v>506</v>
      </c>
      <c r="BI39" t="s">
        <v>1252</v>
      </c>
      <c r="BJ39" t="s">
        <v>1405</v>
      </c>
      <c r="BK39">
        <v>1</v>
      </c>
    </row>
    <row r="40" spans="1:63" x14ac:dyDescent="0.25">
      <c r="A40" t="s">
        <v>1645</v>
      </c>
      <c r="D40">
        <v>214777139</v>
      </c>
      <c r="E40" t="s">
        <v>1215</v>
      </c>
      <c r="G40" t="s">
        <v>1251</v>
      </c>
      <c r="H40">
        <v>91017</v>
      </c>
      <c r="I40" t="s">
        <v>1254</v>
      </c>
      <c r="J40" t="s">
        <v>1252</v>
      </c>
      <c r="K40" t="s">
        <v>1405</v>
      </c>
      <c r="L40" t="s">
        <v>1584</v>
      </c>
      <c r="M40" t="s">
        <v>1250</v>
      </c>
      <c r="O40" s="4">
        <v>42018</v>
      </c>
      <c r="P40" s="4">
        <v>42018</v>
      </c>
      <c r="R40" t="s">
        <v>74</v>
      </c>
      <c r="S40">
        <v>-250000</v>
      </c>
      <c r="T40">
        <v>-250000</v>
      </c>
      <c r="W40">
        <v>-249937.5</v>
      </c>
      <c r="Y40">
        <v>1</v>
      </c>
      <c r="Z40" t="s">
        <v>75</v>
      </c>
      <c r="AE40" t="s">
        <v>1406</v>
      </c>
      <c r="AF40">
        <v>7.3268275379960004</v>
      </c>
      <c r="AG40">
        <v>-7.3270423270005303</v>
      </c>
      <c r="AH40">
        <v>0</v>
      </c>
      <c r="AI40">
        <v>0</v>
      </c>
      <c r="AJ40">
        <v>-1.57554945800803</v>
      </c>
      <c r="AK40">
        <v>100</v>
      </c>
      <c r="AL40" t="s">
        <v>1598</v>
      </c>
      <c r="AO40" t="s">
        <v>92</v>
      </c>
      <c r="AP40" t="s">
        <v>93</v>
      </c>
      <c r="AQ40" t="s">
        <v>1646</v>
      </c>
      <c r="AT40">
        <v>-26.041899999999998</v>
      </c>
      <c r="AU40">
        <v>750</v>
      </c>
      <c r="AX40" t="s">
        <v>76</v>
      </c>
      <c r="AY40" s="24" t="s">
        <v>1647</v>
      </c>
      <c r="BA40" t="s">
        <v>1253</v>
      </c>
      <c r="BG40">
        <v>500</v>
      </c>
      <c r="BH40">
        <v>506</v>
      </c>
      <c r="BI40" t="s">
        <v>1252</v>
      </c>
      <c r="BJ40" t="s">
        <v>1405</v>
      </c>
      <c r="BK40">
        <v>1</v>
      </c>
    </row>
    <row r="41" spans="1:63" x14ac:dyDescent="0.25">
      <c r="A41" t="s">
        <v>1648</v>
      </c>
      <c r="D41">
        <v>214777140</v>
      </c>
      <c r="E41" t="s">
        <v>1215</v>
      </c>
      <c r="G41" t="s">
        <v>1251</v>
      </c>
      <c r="H41">
        <v>91017</v>
      </c>
      <c r="I41" t="s">
        <v>1254</v>
      </c>
      <c r="J41" t="s">
        <v>1252</v>
      </c>
      <c r="K41" t="s">
        <v>1405</v>
      </c>
      <c r="L41" t="s">
        <v>1584</v>
      </c>
      <c r="M41" t="s">
        <v>1250</v>
      </c>
      <c r="O41" s="4">
        <v>42018</v>
      </c>
      <c r="P41" s="4">
        <v>42018</v>
      </c>
      <c r="R41" t="s">
        <v>74</v>
      </c>
      <c r="S41">
        <v>-755000</v>
      </c>
      <c r="T41">
        <v>-755000</v>
      </c>
      <c r="W41">
        <v>-754901.85</v>
      </c>
      <c r="Y41">
        <v>1</v>
      </c>
      <c r="Z41" t="s">
        <v>75</v>
      </c>
      <c r="AE41" t="s">
        <v>1406</v>
      </c>
      <c r="AF41">
        <v>22.129675069940301</v>
      </c>
      <c r="AG41">
        <v>-22.130323813063999</v>
      </c>
      <c r="AH41">
        <v>0</v>
      </c>
      <c r="AI41">
        <v>0</v>
      </c>
      <c r="AJ41">
        <v>-4.8074008220573896</v>
      </c>
      <c r="AK41">
        <v>100</v>
      </c>
      <c r="AL41" t="s">
        <v>1649</v>
      </c>
      <c r="AO41" t="s">
        <v>92</v>
      </c>
      <c r="AP41" t="s">
        <v>93</v>
      </c>
      <c r="AQ41" t="s">
        <v>1650</v>
      </c>
      <c r="AT41">
        <v>-78.656099999999995</v>
      </c>
      <c r="AU41">
        <v>2265</v>
      </c>
      <c r="AX41" t="s">
        <v>76</v>
      </c>
      <c r="AY41" s="24" t="s">
        <v>1651</v>
      </c>
      <c r="BA41" t="s">
        <v>1253</v>
      </c>
      <c r="BG41">
        <v>500</v>
      </c>
      <c r="BH41">
        <v>506</v>
      </c>
      <c r="BI41" t="s">
        <v>1252</v>
      </c>
      <c r="BJ41" t="s">
        <v>1405</v>
      </c>
      <c r="BK41">
        <v>1</v>
      </c>
    </row>
    <row r="42" spans="1:63" x14ac:dyDescent="0.25">
      <c r="A42" t="s">
        <v>1258</v>
      </c>
      <c r="D42">
        <v>214777087</v>
      </c>
      <c r="E42" t="s">
        <v>1215</v>
      </c>
      <c r="G42" t="s">
        <v>1244</v>
      </c>
      <c r="H42">
        <v>91015</v>
      </c>
      <c r="I42" t="s">
        <v>1247</v>
      </c>
      <c r="J42" t="s">
        <v>1229</v>
      </c>
      <c r="M42" t="s">
        <v>1255</v>
      </c>
      <c r="R42" t="s">
        <v>77</v>
      </c>
      <c r="S42">
        <v>3.93</v>
      </c>
      <c r="T42">
        <v>3.93</v>
      </c>
      <c r="W42">
        <v>3.93</v>
      </c>
      <c r="Y42">
        <v>1</v>
      </c>
      <c r="Z42" t="s">
        <v>75</v>
      </c>
      <c r="AF42">
        <v>0</v>
      </c>
      <c r="AG42">
        <v>0</v>
      </c>
      <c r="AH42">
        <v>0</v>
      </c>
      <c r="AI42">
        <v>0</v>
      </c>
      <c r="AJ42">
        <v>0</v>
      </c>
      <c r="AL42">
        <v>0</v>
      </c>
      <c r="AO42" t="s">
        <v>92</v>
      </c>
      <c r="AP42" t="s">
        <v>93</v>
      </c>
      <c r="AQ42" t="s">
        <v>92</v>
      </c>
      <c r="AT42">
        <v>0</v>
      </c>
      <c r="AU42">
        <v>0</v>
      </c>
      <c r="AX42" t="s">
        <v>76</v>
      </c>
      <c r="AY42" s="24" t="s">
        <v>1256</v>
      </c>
      <c r="BA42" t="s">
        <v>1257</v>
      </c>
      <c r="BG42">
        <v>10</v>
      </c>
      <c r="BH42" t="s">
        <v>1245</v>
      </c>
      <c r="BI42" t="s">
        <v>1217</v>
      </c>
    </row>
    <row r="43" spans="1:63" x14ac:dyDescent="0.25">
      <c r="A43" t="s">
        <v>1471</v>
      </c>
      <c r="D43">
        <v>214777088</v>
      </c>
      <c r="E43" t="s">
        <v>1215</v>
      </c>
      <c r="G43" t="s">
        <v>1251</v>
      </c>
      <c r="H43">
        <v>91017</v>
      </c>
      <c r="I43" t="s">
        <v>1254</v>
      </c>
      <c r="J43" t="s">
        <v>1229</v>
      </c>
      <c r="M43" t="s">
        <v>1255</v>
      </c>
      <c r="R43" t="s">
        <v>77</v>
      </c>
      <c r="S43">
        <v>0.01</v>
      </c>
      <c r="T43">
        <v>1.2628840000000001E-2</v>
      </c>
      <c r="W43">
        <v>1.2628840000000001E-2</v>
      </c>
      <c r="Y43">
        <v>1</v>
      </c>
      <c r="Z43" t="s">
        <v>1272</v>
      </c>
      <c r="AF43">
        <v>0</v>
      </c>
      <c r="AG43">
        <v>0</v>
      </c>
      <c r="AH43">
        <v>0</v>
      </c>
      <c r="AI43">
        <v>0</v>
      </c>
      <c r="AJ43">
        <v>0</v>
      </c>
      <c r="AL43">
        <v>0</v>
      </c>
      <c r="AO43" t="s">
        <v>92</v>
      </c>
      <c r="AP43" t="s">
        <v>93</v>
      </c>
      <c r="AQ43" t="s">
        <v>92</v>
      </c>
      <c r="AT43">
        <v>-1E-4</v>
      </c>
      <c r="AU43">
        <v>0</v>
      </c>
      <c r="AX43" t="s">
        <v>76</v>
      </c>
      <c r="AY43" s="24" t="s">
        <v>1273</v>
      </c>
      <c r="BA43" t="s">
        <v>1259</v>
      </c>
      <c r="BG43">
        <v>10</v>
      </c>
      <c r="BH43" t="s">
        <v>1245</v>
      </c>
      <c r="BI43" t="s">
        <v>1217</v>
      </c>
    </row>
    <row r="44" spans="1:63" x14ac:dyDescent="0.25">
      <c r="A44" t="s">
        <v>1407</v>
      </c>
      <c r="D44">
        <v>214777089</v>
      </c>
      <c r="E44" t="s">
        <v>1215</v>
      </c>
      <c r="G44" t="s">
        <v>1251</v>
      </c>
      <c r="H44">
        <v>91017</v>
      </c>
      <c r="I44" t="s">
        <v>1247</v>
      </c>
      <c r="J44" t="s">
        <v>1229</v>
      </c>
      <c r="M44" t="s">
        <v>1255</v>
      </c>
      <c r="R44" t="s">
        <v>77</v>
      </c>
      <c r="S44">
        <v>0.01</v>
      </c>
      <c r="T44">
        <v>7.4524533000000005E-4</v>
      </c>
      <c r="W44">
        <v>7.4524533000000005E-4</v>
      </c>
      <c r="Y44">
        <v>1</v>
      </c>
      <c r="Z44" t="s">
        <v>1351</v>
      </c>
      <c r="AF44">
        <v>0</v>
      </c>
      <c r="AG44">
        <v>0</v>
      </c>
      <c r="AH44">
        <v>0</v>
      </c>
      <c r="AI44">
        <v>0</v>
      </c>
      <c r="AJ44">
        <v>0</v>
      </c>
      <c r="AL44">
        <v>0</v>
      </c>
      <c r="AO44" t="s">
        <v>92</v>
      </c>
      <c r="AP44" t="s">
        <v>93</v>
      </c>
      <c r="AQ44" t="s">
        <v>92</v>
      </c>
      <c r="AT44">
        <v>0</v>
      </c>
      <c r="AU44">
        <v>0</v>
      </c>
      <c r="AX44" t="s">
        <v>76</v>
      </c>
      <c r="AY44" s="24" t="s">
        <v>1352</v>
      </c>
      <c r="BA44" t="s">
        <v>1259</v>
      </c>
      <c r="BG44">
        <v>10</v>
      </c>
      <c r="BH44" t="s">
        <v>1245</v>
      </c>
      <c r="BI44" t="s">
        <v>1217</v>
      </c>
    </row>
    <row r="45" spans="1:63" x14ac:dyDescent="0.25">
      <c r="A45" t="s">
        <v>1408</v>
      </c>
      <c r="D45">
        <v>214777090</v>
      </c>
      <c r="E45" t="s">
        <v>1215</v>
      </c>
      <c r="G45" t="s">
        <v>1251</v>
      </c>
      <c r="H45">
        <v>91017</v>
      </c>
      <c r="I45" t="s">
        <v>1247</v>
      </c>
      <c r="J45" t="s">
        <v>1229</v>
      </c>
      <c r="M45" t="s">
        <v>1255</v>
      </c>
      <c r="R45" t="s">
        <v>77</v>
      </c>
      <c r="S45">
        <v>0.01</v>
      </c>
      <c r="T45">
        <v>1.55611507E-3</v>
      </c>
      <c r="W45">
        <v>1.55611507E-3</v>
      </c>
      <c r="Y45">
        <v>1</v>
      </c>
      <c r="Z45" t="s">
        <v>1248</v>
      </c>
      <c r="AF45">
        <v>0</v>
      </c>
      <c r="AG45">
        <v>0</v>
      </c>
      <c r="AH45">
        <v>0</v>
      </c>
      <c r="AI45">
        <v>0</v>
      </c>
      <c r="AJ45">
        <v>0</v>
      </c>
      <c r="AL45">
        <v>0</v>
      </c>
      <c r="AO45" t="s">
        <v>92</v>
      </c>
      <c r="AP45" t="s">
        <v>93</v>
      </c>
      <c r="AQ45" t="s">
        <v>92</v>
      </c>
      <c r="AT45">
        <v>0</v>
      </c>
      <c r="AU45">
        <v>0</v>
      </c>
      <c r="AX45" t="s">
        <v>76</v>
      </c>
      <c r="AY45" s="24" t="s">
        <v>1359</v>
      </c>
      <c r="BA45" t="s">
        <v>1259</v>
      </c>
      <c r="BG45">
        <v>10</v>
      </c>
      <c r="BH45" t="s">
        <v>1245</v>
      </c>
      <c r="BI45" t="s">
        <v>1217</v>
      </c>
    </row>
    <row r="46" spans="1:63" x14ac:dyDescent="0.25">
      <c r="A46" t="s">
        <v>1457</v>
      </c>
      <c r="D46">
        <v>214777091</v>
      </c>
      <c r="E46" t="s">
        <v>1215</v>
      </c>
      <c r="G46" t="s">
        <v>1251</v>
      </c>
      <c r="H46">
        <v>91017</v>
      </c>
      <c r="I46" t="s">
        <v>1247</v>
      </c>
      <c r="J46" t="s">
        <v>1229</v>
      </c>
      <c r="M46" t="s">
        <v>1255</v>
      </c>
      <c r="R46" t="s">
        <v>74</v>
      </c>
      <c r="S46">
        <v>-3.06</v>
      </c>
      <c r="T46">
        <v>-3.06</v>
      </c>
      <c r="W46">
        <v>-3.06</v>
      </c>
      <c r="Y46">
        <v>1</v>
      </c>
      <c r="Z46" t="s">
        <v>75</v>
      </c>
      <c r="AF46">
        <v>0</v>
      </c>
      <c r="AG46">
        <v>0</v>
      </c>
      <c r="AH46">
        <v>0</v>
      </c>
      <c r="AI46">
        <v>0</v>
      </c>
      <c r="AJ46">
        <v>0</v>
      </c>
      <c r="AL46">
        <v>0</v>
      </c>
      <c r="AO46" t="s">
        <v>92</v>
      </c>
      <c r="AP46" t="s">
        <v>93</v>
      </c>
      <c r="AQ46" t="s">
        <v>92</v>
      </c>
      <c r="AT46">
        <v>0</v>
      </c>
      <c r="AU46">
        <v>0</v>
      </c>
      <c r="AX46" t="s">
        <v>76</v>
      </c>
      <c r="AY46" s="24" t="s">
        <v>1256</v>
      </c>
      <c r="BA46" t="s">
        <v>1259</v>
      </c>
      <c r="BG46">
        <v>10</v>
      </c>
      <c r="BH46" t="s">
        <v>1245</v>
      </c>
      <c r="BI46" t="s">
        <v>1217</v>
      </c>
    </row>
    <row r="47" spans="1:63" x14ac:dyDescent="0.25">
      <c r="A47" t="s">
        <v>1260</v>
      </c>
      <c r="D47">
        <v>214777092</v>
      </c>
      <c r="E47" t="s">
        <v>1215</v>
      </c>
      <c r="G47" t="s">
        <v>1251</v>
      </c>
      <c r="H47">
        <v>91017</v>
      </c>
      <c r="I47" t="s">
        <v>1247</v>
      </c>
      <c r="J47" t="s">
        <v>1229</v>
      </c>
      <c r="M47" t="s">
        <v>1255</v>
      </c>
      <c r="R47" t="s">
        <v>74</v>
      </c>
      <c r="S47">
        <v>-7.62</v>
      </c>
      <c r="T47">
        <v>-7.62</v>
      </c>
      <c r="W47">
        <v>-7.62</v>
      </c>
      <c r="Y47">
        <v>1</v>
      </c>
      <c r="Z47" t="s">
        <v>75</v>
      </c>
      <c r="AF47">
        <v>0</v>
      </c>
      <c r="AG47">
        <v>0</v>
      </c>
      <c r="AH47">
        <v>0</v>
      </c>
      <c r="AI47">
        <v>0</v>
      </c>
      <c r="AJ47">
        <v>0</v>
      </c>
      <c r="AL47">
        <v>0</v>
      </c>
      <c r="AO47" t="s">
        <v>92</v>
      </c>
      <c r="AP47" t="s">
        <v>93</v>
      </c>
      <c r="AQ47" t="s">
        <v>92</v>
      </c>
      <c r="AT47">
        <v>0</v>
      </c>
      <c r="AU47">
        <v>0</v>
      </c>
      <c r="AX47" t="s">
        <v>76</v>
      </c>
      <c r="AY47" s="24" t="s">
        <v>1256</v>
      </c>
      <c r="BA47" t="s">
        <v>1259</v>
      </c>
      <c r="BG47">
        <v>10</v>
      </c>
      <c r="BH47" t="s">
        <v>1245</v>
      </c>
      <c r="BI47" t="s">
        <v>1217</v>
      </c>
    </row>
    <row r="48" spans="1:63" x14ac:dyDescent="0.25">
      <c r="A48" t="s">
        <v>1261</v>
      </c>
      <c r="D48">
        <v>214777093</v>
      </c>
      <c r="E48" t="s">
        <v>1215</v>
      </c>
      <c r="G48" t="s">
        <v>1251</v>
      </c>
      <c r="H48">
        <v>91017</v>
      </c>
      <c r="I48" t="s">
        <v>1247</v>
      </c>
      <c r="J48" t="s">
        <v>1229</v>
      </c>
      <c r="M48" t="s">
        <v>1255</v>
      </c>
      <c r="R48" t="s">
        <v>77</v>
      </c>
      <c r="S48">
        <v>16567.05</v>
      </c>
      <c r="T48">
        <v>16567.05</v>
      </c>
      <c r="W48">
        <v>16567.05</v>
      </c>
      <c r="Y48">
        <v>1</v>
      </c>
      <c r="Z48" t="s">
        <v>75</v>
      </c>
      <c r="AF48">
        <v>0</v>
      </c>
      <c r="AG48">
        <v>0</v>
      </c>
      <c r="AH48">
        <v>0</v>
      </c>
      <c r="AI48">
        <v>0</v>
      </c>
      <c r="AJ48">
        <v>0</v>
      </c>
      <c r="AL48">
        <v>0</v>
      </c>
      <c r="AO48" t="s">
        <v>92</v>
      </c>
      <c r="AP48" t="s">
        <v>93</v>
      </c>
      <c r="AQ48" t="s">
        <v>92</v>
      </c>
      <c r="AT48">
        <v>0</v>
      </c>
      <c r="AU48">
        <v>0</v>
      </c>
      <c r="AX48" t="s">
        <v>76</v>
      </c>
      <c r="AY48" s="24" t="s">
        <v>1256</v>
      </c>
      <c r="BA48" t="s">
        <v>1259</v>
      </c>
      <c r="BG48">
        <v>10</v>
      </c>
      <c r="BH48" t="s">
        <v>1245</v>
      </c>
      <c r="BI48" t="s">
        <v>1217</v>
      </c>
    </row>
    <row r="49" spans="1:61" x14ac:dyDescent="0.25">
      <c r="A49" t="s">
        <v>1262</v>
      </c>
      <c r="D49">
        <v>214777094</v>
      </c>
      <c r="E49" t="s">
        <v>1215</v>
      </c>
      <c r="G49" t="s">
        <v>1251</v>
      </c>
      <c r="H49">
        <v>91017</v>
      </c>
      <c r="I49" t="s">
        <v>1247</v>
      </c>
      <c r="J49" t="s">
        <v>1229</v>
      </c>
      <c r="M49" t="s">
        <v>1255</v>
      </c>
      <c r="R49" t="s">
        <v>74</v>
      </c>
      <c r="S49">
        <v>-1661.46</v>
      </c>
      <c r="T49">
        <v>-1661.46</v>
      </c>
      <c r="W49">
        <v>-1661.46</v>
      </c>
      <c r="Y49">
        <v>1</v>
      </c>
      <c r="Z49" t="s">
        <v>75</v>
      </c>
      <c r="AF49">
        <v>0</v>
      </c>
      <c r="AG49">
        <v>0</v>
      </c>
      <c r="AH49">
        <v>0</v>
      </c>
      <c r="AI49">
        <v>0</v>
      </c>
      <c r="AJ49">
        <v>0</v>
      </c>
      <c r="AL49">
        <v>0</v>
      </c>
      <c r="AO49" t="s">
        <v>92</v>
      </c>
      <c r="AP49" t="s">
        <v>93</v>
      </c>
      <c r="AQ49" t="s">
        <v>92</v>
      </c>
      <c r="AT49">
        <v>0</v>
      </c>
      <c r="AU49">
        <v>0</v>
      </c>
      <c r="AX49" t="s">
        <v>76</v>
      </c>
      <c r="AY49" s="24" t="s">
        <v>1256</v>
      </c>
      <c r="BA49" t="s">
        <v>1259</v>
      </c>
      <c r="BG49">
        <v>10</v>
      </c>
      <c r="BH49" t="s">
        <v>1245</v>
      </c>
      <c r="BI49" t="s">
        <v>1217</v>
      </c>
    </row>
    <row r="50" spans="1:61" x14ac:dyDescent="0.25">
      <c r="A50" t="s">
        <v>1458</v>
      </c>
      <c r="D50">
        <v>214777095</v>
      </c>
      <c r="E50" t="s">
        <v>1215</v>
      </c>
      <c r="G50" t="s">
        <v>1251</v>
      </c>
      <c r="H50">
        <v>91017</v>
      </c>
      <c r="I50" t="s">
        <v>1247</v>
      </c>
      <c r="J50" t="s">
        <v>1229</v>
      </c>
      <c r="M50" t="s">
        <v>1255</v>
      </c>
      <c r="R50" t="s">
        <v>74</v>
      </c>
      <c r="S50">
        <v>-61141.31</v>
      </c>
      <c r="T50">
        <v>-61141.31</v>
      </c>
      <c r="W50">
        <v>-61141.31</v>
      </c>
      <c r="Y50">
        <v>1</v>
      </c>
      <c r="Z50" t="s">
        <v>75</v>
      </c>
      <c r="AF50">
        <v>0</v>
      </c>
      <c r="AG50">
        <v>0</v>
      </c>
      <c r="AH50">
        <v>0</v>
      </c>
      <c r="AI50">
        <v>0</v>
      </c>
      <c r="AJ50">
        <v>0</v>
      </c>
      <c r="AL50">
        <v>0</v>
      </c>
      <c r="AO50" t="s">
        <v>92</v>
      </c>
      <c r="AP50" t="s">
        <v>93</v>
      </c>
      <c r="AQ50" t="s">
        <v>92</v>
      </c>
      <c r="AT50">
        <v>0</v>
      </c>
      <c r="AU50">
        <v>0</v>
      </c>
      <c r="AX50" t="s">
        <v>76</v>
      </c>
      <c r="AY50" s="24" t="s">
        <v>1256</v>
      </c>
      <c r="BA50" t="s">
        <v>1259</v>
      </c>
      <c r="BG50">
        <v>10</v>
      </c>
      <c r="BH50" t="s">
        <v>1245</v>
      </c>
      <c r="BI50" t="s">
        <v>1217</v>
      </c>
    </row>
    <row r="51" spans="1:61" x14ac:dyDescent="0.25">
      <c r="A51" t="s">
        <v>1263</v>
      </c>
      <c r="D51">
        <v>214777096</v>
      </c>
      <c r="E51" t="s">
        <v>1215</v>
      </c>
      <c r="G51" t="s">
        <v>1251</v>
      </c>
      <c r="H51">
        <v>91017</v>
      </c>
      <c r="I51" t="s">
        <v>1247</v>
      </c>
      <c r="J51" t="s">
        <v>1229</v>
      </c>
      <c r="M51" t="s">
        <v>1255</v>
      </c>
      <c r="R51" t="s">
        <v>77</v>
      </c>
      <c r="S51">
        <v>9450.43</v>
      </c>
      <c r="T51">
        <v>9450.43</v>
      </c>
      <c r="W51">
        <v>9450.43</v>
      </c>
      <c r="Y51">
        <v>1</v>
      </c>
      <c r="Z51" t="s">
        <v>75</v>
      </c>
      <c r="AF51">
        <v>0</v>
      </c>
      <c r="AG51">
        <v>0</v>
      </c>
      <c r="AH51">
        <v>0</v>
      </c>
      <c r="AI51">
        <v>0</v>
      </c>
      <c r="AJ51">
        <v>0</v>
      </c>
      <c r="AL51">
        <v>0</v>
      </c>
      <c r="AO51" t="s">
        <v>92</v>
      </c>
      <c r="AP51" t="s">
        <v>93</v>
      </c>
      <c r="AQ51" t="s">
        <v>92</v>
      </c>
      <c r="AT51">
        <v>0</v>
      </c>
      <c r="AU51">
        <v>0</v>
      </c>
      <c r="AX51" t="s">
        <v>76</v>
      </c>
      <c r="AY51" s="24" t="s">
        <v>1256</v>
      </c>
      <c r="BA51" t="s">
        <v>1259</v>
      </c>
      <c r="BG51">
        <v>10</v>
      </c>
      <c r="BH51" t="s">
        <v>1245</v>
      </c>
      <c r="BI51" t="s">
        <v>1217</v>
      </c>
    </row>
    <row r="52" spans="1:61" x14ac:dyDescent="0.25">
      <c r="A52" t="s">
        <v>1264</v>
      </c>
      <c r="D52">
        <v>214777097</v>
      </c>
      <c r="E52" t="s">
        <v>1215</v>
      </c>
      <c r="G52" t="s">
        <v>1251</v>
      </c>
      <c r="H52">
        <v>91017</v>
      </c>
      <c r="I52" t="s">
        <v>1247</v>
      </c>
      <c r="J52" t="s">
        <v>1229</v>
      </c>
      <c r="M52" t="s">
        <v>1255</v>
      </c>
      <c r="R52" t="s">
        <v>74</v>
      </c>
      <c r="S52">
        <v>-5234.21</v>
      </c>
      <c r="T52">
        <v>-5234.21</v>
      </c>
      <c r="W52">
        <v>-5234.21</v>
      </c>
      <c r="Y52">
        <v>1</v>
      </c>
      <c r="Z52" t="s">
        <v>75</v>
      </c>
      <c r="AF52">
        <v>0</v>
      </c>
      <c r="AG52">
        <v>0</v>
      </c>
      <c r="AH52">
        <v>0</v>
      </c>
      <c r="AI52">
        <v>0</v>
      </c>
      <c r="AJ52">
        <v>0</v>
      </c>
      <c r="AL52">
        <v>0</v>
      </c>
      <c r="AO52" t="s">
        <v>92</v>
      </c>
      <c r="AP52" t="s">
        <v>93</v>
      </c>
      <c r="AQ52" t="s">
        <v>92</v>
      </c>
      <c r="AT52">
        <v>0</v>
      </c>
      <c r="AU52">
        <v>0</v>
      </c>
      <c r="AX52" t="s">
        <v>76</v>
      </c>
      <c r="AY52" s="24" t="s">
        <v>1256</v>
      </c>
      <c r="BA52" t="s">
        <v>1259</v>
      </c>
      <c r="BG52">
        <v>10</v>
      </c>
      <c r="BH52" t="s">
        <v>1245</v>
      </c>
      <c r="BI52" t="s">
        <v>1217</v>
      </c>
    </row>
    <row r="53" spans="1:61" x14ac:dyDescent="0.25">
      <c r="A53" t="s">
        <v>1265</v>
      </c>
      <c r="D53">
        <v>214777098</v>
      </c>
      <c r="E53" t="s">
        <v>1215</v>
      </c>
      <c r="G53" t="s">
        <v>1251</v>
      </c>
      <c r="H53">
        <v>91017</v>
      </c>
      <c r="I53" t="s">
        <v>1247</v>
      </c>
      <c r="J53" t="s">
        <v>1229</v>
      </c>
      <c r="M53" t="s">
        <v>1255</v>
      </c>
      <c r="R53" t="s">
        <v>77</v>
      </c>
      <c r="S53">
        <v>26.38</v>
      </c>
      <c r="T53">
        <v>26.38</v>
      </c>
      <c r="W53">
        <v>26.38</v>
      </c>
      <c r="Y53">
        <v>1</v>
      </c>
      <c r="Z53" t="s">
        <v>75</v>
      </c>
      <c r="AF53">
        <v>0</v>
      </c>
      <c r="AG53">
        <v>0</v>
      </c>
      <c r="AH53">
        <v>0</v>
      </c>
      <c r="AI53">
        <v>0</v>
      </c>
      <c r="AJ53">
        <v>0</v>
      </c>
      <c r="AL53">
        <v>0</v>
      </c>
      <c r="AO53" t="s">
        <v>92</v>
      </c>
      <c r="AP53" t="s">
        <v>93</v>
      </c>
      <c r="AQ53" t="s">
        <v>92</v>
      </c>
      <c r="AT53">
        <v>0</v>
      </c>
      <c r="AU53">
        <v>0</v>
      </c>
      <c r="AX53" t="s">
        <v>76</v>
      </c>
      <c r="AY53" s="24" t="s">
        <v>1256</v>
      </c>
      <c r="BA53" t="s">
        <v>1259</v>
      </c>
      <c r="BG53">
        <v>10</v>
      </c>
      <c r="BH53" t="s">
        <v>1245</v>
      </c>
      <c r="BI53" t="s">
        <v>1217</v>
      </c>
    </row>
    <row r="54" spans="1:61" x14ac:dyDescent="0.25">
      <c r="A54" t="s">
        <v>1266</v>
      </c>
      <c r="D54">
        <v>214777099</v>
      </c>
      <c r="E54" t="s">
        <v>1215</v>
      </c>
      <c r="G54" t="s">
        <v>1251</v>
      </c>
      <c r="H54">
        <v>91017</v>
      </c>
      <c r="I54" t="s">
        <v>1247</v>
      </c>
      <c r="J54" t="s">
        <v>1229</v>
      </c>
      <c r="M54" t="s">
        <v>1255</v>
      </c>
      <c r="R54" t="s">
        <v>74</v>
      </c>
      <c r="S54">
        <v>-39.15</v>
      </c>
      <c r="T54">
        <v>-39.15</v>
      </c>
      <c r="W54">
        <v>-39.15</v>
      </c>
      <c r="Y54">
        <v>1</v>
      </c>
      <c r="Z54" t="s">
        <v>75</v>
      </c>
      <c r="AF54">
        <v>0</v>
      </c>
      <c r="AG54">
        <v>0</v>
      </c>
      <c r="AH54">
        <v>0</v>
      </c>
      <c r="AI54">
        <v>0</v>
      </c>
      <c r="AJ54">
        <v>0</v>
      </c>
      <c r="AL54">
        <v>0</v>
      </c>
      <c r="AO54" t="s">
        <v>92</v>
      </c>
      <c r="AP54" t="s">
        <v>93</v>
      </c>
      <c r="AQ54" t="s">
        <v>92</v>
      </c>
      <c r="AT54">
        <v>0</v>
      </c>
      <c r="AU54">
        <v>0</v>
      </c>
      <c r="AX54" t="s">
        <v>76</v>
      </c>
      <c r="AY54" s="24" t="s">
        <v>1256</v>
      </c>
      <c r="BA54" t="s">
        <v>1259</v>
      </c>
      <c r="BG54">
        <v>10</v>
      </c>
      <c r="BH54" t="s">
        <v>1245</v>
      </c>
      <c r="BI54" t="s">
        <v>1217</v>
      </c>
    </row>
    <row r="55" spans="1:61" x14ac:dyDescent="0.25">
      <c r="A55" t="s">
        <v>1472</v>
      </c>
      <c r="D55">
        <v>214777100</v>
      </c>
      <c r="E55" t="s">
        <v>1215</v>
      </c>
      <c r="G55" t="s">
        <v>1251</v>
      </c>
      <c r="H55">
        <v>91017</v>
      </c>
      <c r="I55" t="s">
        <v>1247</v>
      </c>
      <c r="J55" t="s">
        <v>1229</v>
      </c>
      <c r="M55" t="s">
        <v>1255</v>
      </c>
      <c r="R55" t="s">
        <v>77</v>
      </c>
      <c r="S55">
        <v>2413.87</v>
      </c>
      <c r="T55">
        <v>2413.87</v>
      </c>
      <c r="W55">
        <v>2413.87</v>
      </c>
      <c r="Y55">
        <v>1</v>
      </c>
      <c r="Z55" t="s">
        <v>75</v>
      </c>
      <c r="AF55">
        <v>0</v>
      </c>
      <c r="AG55">
        <v>0</v>
      </c>
      <c r="AH55">
        <v>0</v>
      </c>
      <c r="AI55">
        <v>0</v>
      </c>
      <c r="AJ55">
        <v>0</v>
      </c>
      <c r="AL55">
        <v>0</v>
      </c>
      <c r="AO55" t="s">
        <v>92</v>
      </c>
      <c r="AP55" t="s">
        <v>93</v>
      </c>
      <c r="AQ55" t="s">
        <v>92</v>
      </c>
      <c r="AT55">
        <v>0</v>
      </c>
      <c r="AU55">
        <v>0</v>
      </c>
      <c r="AX55" t="s">
        <v>76</v>
      </c>
      <c r="AY55" s="24" t="s">
        <v>1256</v>
      </c>
      <c r="BA55" t="s">
        <v>1259</v>
      </c>
      <c r="BG55">
        <v>10</v>
      </c>
      <c r="BH55" t="s">
        <v>1245</v>
      </c>
      <c r="BI55" t="s">
        <v>1217</v>
      </c>
    </row>
    <row r="56" spans="1:61" x14ac:dyDescent="0.25">
      <c r="A56" t="s">
        <v>1267</v>
      </c>
      <c r="D56">
        <v>214777101</v>
      </c>
      <c r="E56" t="s">
        <v>1215</v>
      </c>
      <c r="G56" t="s">
        <v>1251</v>
      </c>
      <c r="H56">
        <v>91017</v>
      </c>
      <c r="I56" t="s">
        <v>1247</v>
      </c>
      <c r="J56" t="s">
        <v>1229</v>
      </c>
      <c r="M56" t="s">
        <v>1255</v>
      </c>
      <c r="R56" t="s">
        <v>77</v>
      </c>
      <c r="S56">
        <v>8615285.4199999999</v>
      </c>
      <c r="T56">
        <v>8615285.4199999999</v>
      </c>
      <c r="W56">
        <v>8615285.4199999999</v>
      </c>
      <c r="Y56">
        <v>1</v>
      </c>
      <c r="Z56" t="s">
        <v>75</v>
      </c>
      <c r="AF56">
        <v>0</v>
      </c>
      <c r="AG56">
        <v>0</v>
      </c>
      <c r="AH56">
        <v>0</v>
      </c>
      <c r="AI56">
        <v>0</v>
      </c>
      <c r="AJ56">
        <v>0</v>
      </c>
      <c r="AL56">
        <v>0</v>
      </c>
      <c r="AO56" t="s">
        <v>92</v>
      </c>
      <c r="AP56" t="s">
        <v>93</v>
      </c>
      <c r="AQ56" t="s">
        <v>92</v>
      </c>
      <c r="AT56">
        <v>0</v>
      </c>
      <c r="AU56">
        <v>0</v>
      </c>
      <c r="AX56" t="s">
        <v>76</v>
      </c>
      <c r="AY56" s="24" t="s">
        <v>1256</v>
      </c>
      <c r="BA56" t="s">
        <v>1259</v>
      </c>
      <c r="BG56">
        <v>10</v>
      </c>
      <c r="BH56" t="s">
        <v>1245</v>
      </c>
      <c r="BI56" t="s">
        <v>1217</v>
      </c>
    </row>
    <row r="57" spans="1:61" x14ac:dyDescent="0.25">
      <c r="A57" t="s">
        <v>1268</v>
      </c>
      <c r="D57">
        <v>214777142</v>
      </c>
      <c r="E57" t="s">
        <v>1215</v>
      </c>
      <c r="G57" t="s">
        <v>1251</v>
      </c>
      <c r="H57">
        <v>91017</v>
      </c>
      <c r="I57" t="s">
        <v>1247</v>
      </c>
      <c r="J57" t="s">
        <v>1229</v>
      </c>
      <c r="M57" t="s">
        <v>1255</v>
      </c>
      <c r="R57" t="s">
        <v>74</v>
      </c>
      <c r="S57">
        <v>-33731.75</v>
      </c>
      <c r="T57">
        <v>-33731.75</v>
      </c>
      <c r="W57">
        <v>-33731.75</v>
      </c>
      <c r="Y57">
        <v>1</v>
      </c>
      <c r="Z57" t="s">
        <v>75</v>
      </c>
      <c r="AF57">
        <v>0</v>
      </c>
      <c r="AG57">
        <v>0</v>
      </c>
      <c r="AH57">
        <v>0</v>
      </c>
      <c r="AI57">
        <v>0</v>
      </c>
      <c r="AJ57">
        <v>0</v>
      </c>
      <c r="AL57">
        <v>0</v>
      </c>
      <c r="AO57" t="s">
        <v>92</v>
      </c>
      <c r="AP57" t="s">
        <v>93</v>
      </c>
      <c r="AQ57" t="s">
        <v>92</v>
      </c>
      <c r="AT57">
        <v>0</v>
      </c>
      <c r="AU57">
        <v>0</v>
      </c>
      <c r="AX57" t="s">
        <v>76</v>
      </c>
      <c r="AY57" s="24" t="s">
        <v>1256</v>
      </c>
      <c r="BA57" t="s">
        <v>1259</v>
      </c>
      <c r="BG57">
        <v>10</v>
      </c>
      <c r="BH57" t="s">
        <v>1245</v>
      </c>
      <c r="BI57" t="s">
        <v>1217</v>
      </c>
    </row>
    <row r="58" spans="1:61" x14ac:dyDescent="0.25">
      <c r="A58" t="s">
        <v>1269</v>
      </c>
      <c r="D58">
        <v>214777143</v>
      </c>
      <c r="E58" t="s">
        <v>1215</v>
      </c>
      <c r="G58" t="s">
        <v>1251</v>
      </c>
      <c r="H58">
        <v>91017</v>
      </c>
      <c r="I58" t="s">
        <v>1247</v>
      </c>
      <c r="J58" t="s">
        <v>1229</v>
      </c>
      <c r="M58" t="s">
        <v>1255</v>
      </c>
      <c r="R58" t="s">
        <v>77</v>
      </c>
      <c r="S58">
        <v>2413.54</v>
      </c>
      <c r="T58">
        <v>2413.54</v>
      </c>
      <c r="W58">
        <v>2413.54</v>
      </c>
      <c r="Y58">
        <v>1</v>
      </c>
      <c r="Z58" t="s">
        <v>75</v>
      </c>
      <c r="AF58">
        <v>0</v>
      </c>
      <c r="AG58">
        <v>0</v>
      </c>
      <c r="AH58">
        <v>0</v>
      </c>
      <c r="AI58">
        <v>0</v>
      </c>
      <c r="AJ58">
        <v>0</v>
      </c>
      <c r="AL58">
        <v>0</v>
      </c>
      <c r="AO58" t="s">
        <v>92</v>
      </c>
      <c r="AP58" t="s">
        <v>93</v>
      </c>
      <c r="AQ58" t="s">
        <v>92</v>
      </c>
      <c r="AT58">
        <v>0</v>
      </c>
      <c r="AU58">
        <v>0</v>
      </c>
      <c r="AX58" t="s">
        <v>76</v>
      </c>
      <c r="AY58" s="24" t="s">
        <v>1256</v>
      </c>
      <c r="BA58" t="s">
        <v>1259</v>
      </c>
      <c r="BG58">
        <v>10</v>
      </c>
      <c r="BH58" t="s">
        <v>1245</v>
      </c>
      <c r="BI58" t="s">
        <v>1217</v>
      </c>
    </row>
    <row r="59" spans="1:61" x14ac:dyDescent="0.25">
      <c r="A59" t="s">
        <v>1270</v>
      </c>
      <c r="D59">
        <v>214777144</v>
      </c>
      <c r="E59" t="s">
        <v>1215</v>
      </c>
      <c r="G59" t="s">
        <v>1251</v>
      </c>
      <c r="H59">
        <v>91017</v>
      </c>
      <c r="I59" t="s">
        <v>1247</v>
      </c>
      <c r="J59" t="s">
        <v>1229</v>
      </c>
      <c r="M59" t="s">
        <v>1255</v>
      </c>
      <c r="R59" t="s">
        <v>74</v>
      </c>
      <c r="S59">
        <v>-111.54</v>
      </c>
      <c r="T59">
        <v>-111.54</v>
      </c>
      <c r="W59">
        <v>-111.54</v>
      </c>
      <c r="Y59">
        <v>1</v>
      </c>
      <c r="Z59" t="s">
        <v>75</v>
      </c>
      <c r="AF59">
        <v>0</v>
      </c>
      <c r="AG59">
        <v>0</v>
      </c>
      <c r="AH59">
        <v>0</v>
      </c>
      <c r="AI59">
        <v>0</v>
      </c>
      <c r="AJ59">
        <v>0</v>
      </c>
      <c r="AL59">
        <v>0</v>
      </c>
      <c r="AO59" t="s">
        <v>92</v>
      </c>
      <c r="AP59" t="s">
        <v>93</v>
      </c>
      <c r="AQ59" t="s">
        <v>92</v>
      </c>
      <c r="AT59">
        <v>0</v>
      </c>
      <c r="AU59">
        <v>0</v>
      </c>
      <c r="AX59" t="s">
        <v>76</v>
      </c>
      <c r="AY59" s="24" t="s">
        <v>1256</v>
      </c>
      <c r="BA59" t="s">
        <v>1259</v>
      </c>
      <c r="BG59">
        <v>10</v>
      </c>
      <c r="BH59" t="s">
        <v>1245</v>
      </c>
      <c r="BI59" t="s">
        <v>1217</v>
      </c>
    </row>
    <row r="60" spans="1:61" x14ac:dyDescent="0.25">
      <c r="A60" t="s">
        <v>1271</v>
      </c>
      <c r="D60">
        <v>214777145</v>
      </c>
      <c r="E60" t="s">
        <v>1215</v>
      </c>
      <c r="G60" t="s">
        <v>1251</v>
      </c>
      <c r="H60">
        <v>91017</v>
      </c>
      <c r="I60" t="s">
        <v>1254</v>
      </c>
      <c r="J60" t="s">
        <v>1229</v>
      </c>
      <c r="M60" t="s">
        <v>1255</v>
      </c>
      <c r="R60" t="s">
        <v>77</v>
      </c>
      <c r="S60">
        <v>300</v>
      </c>
      <c r="T60">
        <v>378.86520000000002</v>
      </c>
      <c r="W60">
        <v>378.86520000000002</v>
      </c>
      <c r="Y60">
        <v>1</v>
      </c>
      <c r="Z60" t="s">
        <v>1272</v>
      </c>
      <c r="AF60">
        <v>0</v>
      </c>
      <c r="AG60">
        <v>0</v>
      </c>
      <c r="AH60">
        <v>0</v>
      </c>
      <c r="AI60">
        <v>0</v>
      </c>
      <c r="AJ60">
        <v>0</v>
      </c>
      <c r="AL60">
        <v>0</v>
      </c>
      <c r="AO60" t="s">
        <v>92</v>
      </c>
      <c r="AP60" t="s">
        <v>93</v>
      </c>
      <c r="AQ60" t="s">
        <v>92</v>
      </c>
      <c r="AT60">
        <v>-4.0400999999999998</v>
      </c>
      <c r="AU60">
        <v>0</v>
      </c>
      <c r="AX60" t="s">
        <v>76</v>
      </c>
      <c r="AY60" s="24" t="s">
        <v>1273</v>
      </c>
      <c r="BA60" t="s">
        <v>1259</v>
      </c>
      <c r="BG60">
        <v>10</v>
      </c>
      <c r="BH60" t="s">
        <v>1245</v>
      </c>
      <c r="BI60" t="s">
        <v>1217</v>
      </c>
    </row>
    <row r="61" spans="1:61" x14ac:dyDescent="0.25">
      <c r="A61" t="s">
        <v>1274</v>
      </c>
      <c r="D61">
        <v>214777146</v>
      </c>
      <c r="E61" t="s">
        <v>1215</v>
      </c>
      <c r="G61" t="s">
        <v>1251</v>
      </c>
      <c r="H61">
        <v>91017</v>
      </c>
      <c r="I61" t="s">
        <v>1247</v>
      </c>
      <c r="J61" t="s">
        <v>1229</v>
      </c>
      <c r="M61" t="s">
        <v>1255</v>
      </c>
      <c r="R61" t="s">
        <v>77</v>
      </c>
      <c r="S61">
        <v>1113.5899999999999</v>
      </c>
      <c r="T61">
        <v>1113.5899999999999</v>
      </c>
      <c r="W61">
        <v>1113.5899999999999</v>
      </c>
      <c r="Y61">
        <v>1</v>
      </c>
      <c r="Z61" t="s">
        <v>75</v>
      </c>
      <c r="AF61">
        <v>0</v>
      </c>
      <c r="AG61">
        <v>0</v>
      </c>
      <c r="AH61">
        <v>0</v>
      </c>
      <c r="AI61">
        <v>0</v>
      </c>
      <c r="AJ61">
        <v>0</v>
      </c>
      <c r="AL61">
        <v>0</v>
      </c>
      <c r="AO61" t="s">
        <v>92</v>
      </c>
      <c r="AP61" t="s">
        <v>93</v>
      </c>
      <c r="AQ61" t="s">
        <v>92</v>
      </c>
      <c r="AT61">
        <v>0</v>
      </c>
      <c r="AU61">
        <v>0</v>
      </c>
      <c r="AX61" t="s">
        <v>76</v>
      </c>
      <c r="AY61" s="24" t="s">
        <v>1256</v>
      </c>
      <c r="BA61" t="s">
        <v>1259</v>
      </c>
      <c r="BG61">
        <v>10</v>
      </c>
      <c r="BH61" t="s">
        <v>1245</v>
      </c>
      <c r="BI61" t="s">
        <v>1217</v>
      </c>
    </row>
    <row r="62" spans="1:61" x14ac:dyDescent="0.25">
      <c r="A62" t="s">
        <v>1275</v>
      </c>
      <c r="D62">
        <v>214777147</v>
      </c>
      <c r="E62" t="s">
        <v>1215</v>
      </c>
      <c r="G62" t="s">
        <v>1251</v>
      </c>
      <c r="H62">
        <v>91017</v>
      </c>
      <c r="I62" t="s">
        <v>1247</v>
      </c>
      <c r="J62" t="s">
        <v>1229</v>
      </c>
      <c r="M62" t="s">
        <v>1255</v>
      </c>
      <c r="R62" t="s">
        <v>77</v>
      </c>
      <c r="S62">
        <v>879.03</v>
      </c>
      <c r="T62">
        <v>879.03</v>
      </c>
      <c r="W62">
        <v>879.03</v>
      </c>
      <c r="Y62">
        <v>1</v>
      </c>
      <c r="Z62" t="s">
        <v>75</v>
      </c>
      <c r="AF62">
        <v>0</v>
      </c>
      <c r="AG62">
        <v>0</v>
      </c>
      <c r="AH62">
        <v>0</v>
      </c>
      <c r="AI62">
        <v>0</v>
      </c>
      <c r="AJ62">
        <v>0</v>
      </c>
      <c r="AL62">
        <v>0</v>
      </c>
      <c r="AO62" t="s">
        <v>92</v>
      </c>
      <c r="AP62" t="s">
        <v>93</v>
      </c>
      <c r="AQ62" t="s">
        <v>92</v>
      </c>
      <c r="AT62">
        <v>0</v>
      </c>
      <c r="AU62">
        <v>0</v>
      </c>
      <c r="AX62" t="s">
        <v>76</v>
      </c>
      <c r="AY62" s="24" t="s">
        <v>1256</v>
      </c>
      <c r="BA62" t="s">
        <v>1259</v>
      </c>
      <c r="BG62">
        <v>10</v>
      </c>
      <c r="BH62" t="s">
        <v>1245</v>
      </c>
      <c r="BI62" t="s">
        <v>1217</v>
      </c>
    </row>
    <row r="63" spans="1:61" x14ac:dyDescent="0.25">
      <c r="A63" t="s">
        <v>1280</v>
      </c>
      <c r="D63">
        <v>214777148</v>
      </c>
      <c r="E63" t="s">
        <v>1215</v>
      </c>
      <c r="G63" t="s">
        <v>1251</v>
      </c>
      <c r="H63">
        <v>91017</v>
      </c>
      <c r="I63" t="s">
        <v>1247</v>
      </c>
      <c r="J63" t="s">
        <v>1229</v>
      </c>
      <c r="M63" t="s">
        <v>1255</v>
      </c>
      <c r="R63" t="s">
        <v>77</v>
      </c>
      <c r="S63">
        <v>0.38</v>
      </c>
      <c r="T63">
        <v>0.38</v>
      </c>
      <c r="W63">
        <v>0.38</v>
      </c>
      <c r="Y63">
        <v>1</v>
      </c>
      <c r="Z63" t="s">
        <v>75</v>
      </c>
      <c r="AF63">
        <v>0</v>
      </c>
      <c r="AG63">
        <v>0</v>
      </c>
      <c r="AH63">
        <v>0</v>
      </c>
      <c r="AI63">
        <v>0</v>
      </c>
      <c r="AJ63">
        <v>0</v>
      </c>
      <c r="AL63">
        <v>0</v>
      </c>
      <c r="AO63" t="s">
        <v>92</v>
      </c>
      <c r="AP63" t="s">
        <v>93</v>
      </c>
      <c r="AQ63" t="s">
        <v>92</v>
      </c>
      <c r="AT63">
        <v>0</v>
      </c>
      <c r="AU63">
        <v>0</v>
      </c>
      <c r="AX63" t="s">
        <v>76</v>
      </c>
      <c r="AY63" s="24" t="s">
        <v>1256</v>
      </c>
      <c r="BA63" t="s">
        <v>1259</v>
      </c>
      <c r="BG63">
        <v>10</v>
      </c>
      <c r="BH63" t="s">
        <v>1245</v>
      </c>
      <c r="BI63" t="s">
        <v>1217</v>
      </c>
    </row>
    <row r="64" spans="1:61" x14ac:dyDescent="0.25">
      <c r="A64" t="s">
        <v>1281</v>
      </c>
      <c r="D64">
        <v>214777149</v>
      </c>
      <c r="E64" t="s">
        <v>1215</v>
      </c>
      <c r="G64" t="s">
        <v>1251</v>
      </c>
      <c r="H64">
        <v>91017</v>
      </c>
      <c r="I64" t="s">
        <v>1247</v>
      </c>
      <c r="J64" t="s">
        <v>1229</v>
      </c>
      <c r="M64" t="s">
        <v>1255</v>
      </c>
      <c r="R64" t="s">
        <v>77</v>
      </c>
      <c r="S64">
        <v>372.66</v>
      </c>
      <c r="T64">
        <v>372.66</v>
      </c>
      <c r="W64">
        <v>372.66</v>
      </c>
      <c r="Y64">
        <v>1</v>
      </c>
      <c r="Z64" t="s">
        <v>75</v>
      </c>
      <c r="AF64">
        <v>0</v>
      </c>
      <c r="AG64">
        <v>0</v>
      </c>
      <c r="AH64">
        <v>0</v>
      </c>
      <c r="AI64">
        <v>0</v>
      </c>
      <c r="AJ64">
        <v>0</v>
      </c>
      <c r="AL64">
        <v>0</v>
      </c>
      <c r="AO64" t="s">
        <v>92</v>
      </c>
      <c r="AP64" t="s">
        <v>93</v>
      </c>
      <c r="AQ64" t="s">
        <v>92</v>
      </c>
      <c r="AT64">
        <v>0</v>
      </c>
      <c r="AU64">
        <v>0</v>
      </c>
      <c r="AX64" t="s">
        <v>76</v>
      </c>
      <c r="AY64" s="24" t="s">
        <v>1256</v>
      </c>
      <c r="BA64" t="s">
        <v>1259</v>
      </c>
      <c r="BG64">
        <v>10</v>
      </c>
      <c r="BH64" t="s">
        <v>1245</v>
      </c>
      <c r="BI64" t="s">
        <v>1217</v>
      </c>
    </row>
    <row r="65" spans="1:61" x14ac:dyDescent="0.25">
      <c r="A65" t="s">
        <v>1282</v>
      </c>
      <c r="D65">
        <v>214777150</v>
      </c>
      <c r="E65" t="s">
        <v>1215</v>
      </c>
      <c r="G65" t="s">
        <v>1251</v>
      </c>
      <c r="H65">
        <v>91017</v>
      </c>
      <c r="I65" t="s">
        <v>1247</v>
      </c>
      <c r="J65" t="s">
        <v>1229</v>
      </c>
      <c r="M65" t="s">
        <v>1255</v>
      </c>
      <c r="R65" t="s">
        <v>77</v>
      </c>
      <c r="S65">
        <v>29.82</v>
      </c>
      <c r="T65">
        <v>29.82</v>
      </c>
      <c r="W65">
        <v>29.82</v>
      </c>
      <c r="Y65">
        <v>1</v>
      </c>
      <c r="Z65" t="s">
        <v>75</v>
      </c>
      <c r="AF65">
        <v>0</v>
      </c>
      <c r="AG65">
        <v>0</v>
      </c>
      <c r="AH65">
        <v>0</v>
      </c>
      <c r="AI65">
        <v>0</v>
      </c>
      <c r="AJ65">
        <v>0</v>
      </c>
      <c r="AL65">
        <v>0</v>
      </c>
      <c r="AO65" t="s">
        <v>92</v>
      </c>
      <c r="AP65" t="s">
        <v>93</v>
      </c>
      <c r="AQ65" t="s">
        <v>92</v>
      </c>
      <c r="AT65">
        <v>0</v>
      </c>
      <c r="AU65">
        <v>0</v>
      </c>
      <c r="AX65" t="s">
        <v>76</v>
      </c>
      <c r="AY65" s="24" t="s">
        <v>1256</v>
      </c>
      <c r="BA65" t="s">
        <v>1259</v>
      </c>
      <c r="BG65">
        <v>10</v>
      </c>
      <c r="BH65" t="s">
        <v>1245</v>
      </c>
      <c r="BI65" t="s">
        <v>1217</v>
      </c>
    </row>
    <row r="66" spans="1:61" x14ac:dyDescent="0.25">
      <c r="A66" t="s">
        <v>1283</v>
      </c>
      <c r="D66">
        <v>214777151</v>
      </c>
      <c r="E66" t="s">
        <v>1215</v>
      </c>
      <c r="G66" t="s">
        <v>1251</v>
      </c>
      <c r="H66">
        <v>91017</v>
      </c>
      <c r="I66" t="s">
        <v>1247</v>
      </c>
      <c r="J66" t="s">
        <v>1229</v>
      </c>
      <c r="M66" t="s">
        <v>1255</v>
      </c>
      <c r="R66" t="s">
        <v>74</v>
      </c>
      <c r="S66">
        <v>-953.3</v>
      </c>
      <c r="T66">
        <v>-953.3</v>
      </c>
      <c r="W66">
        <v>-953.3</v>
      </c>
      <c r="Y66">
        <v>1</v>
      </c>
      <c r="Z66" t="s">
        <v>75</v>
      </c>
      <c r="AF66">
        <v>0</v>
      </c>
      <c r="AG66">
        <v>0</v>
      </c>
      <c r="AH66">
        <v>0</v>
      </c>
      <c r="AI66">
        <v>0</v>
      </c>
      <c r="AJ66">
        <v>0</v>
      </c>
      <c r="AL66">
        <v>0</v>
      </c>
      <c r="AO66" t="s">
        <v>92</v>
      </c>
      <c r="AP66" t="s">
        <v>93</v>
      </c>
      <c r="AQ66" t="s">
        <v>92</v>
      </c>
      <c r="AT66">
        <v>0</v>
      </c>
      <c r="AU66">
        <v>0</v>
      </c>
      <c r="AX66" t="s">
        <v>76</v>
      </c>
      <c r="AY66" s="24" t="s">
        <v>1256</v>
      </c>
      <c r="BA66" t="s">
        <v>1259</v>
      </c>
      <c r="BG66">
        <v>10</v>
      </c>
      <c r="BH66" t="s">
        <v>1245</v>
      </c>
      <c r="BI66" t="s">
        <v>1217</v>
      </c>
    </row>
    <row r="67" spans="1:61" x14ac:dyDescent="0.25">
      <c r="A67" t="s">
        <v>1284</v>
      </c>
      <c r="D67">
        <v>214777152</v>
      </c>
      <c r="E67" t="s">
        <v>1215</v>
      </c>
      <c r="G67" t="s">
        <v>1251</v>
      </c>
      <c r="H67">
        <v>91017</v>
      </c>
      <c r="I67" t="s">
        <v>1247</v>
      </c>
      <c r="J67" t="s">
        <v>1229</v>
      </c>
      <c r="M67" t="s">
        <v>1255</v>
      </c>
      <c r="R67" t="s">
        <v>77</v>
      </c>
      <c r="S67">
        <v>1571.47</v>
      </c>
      <c r="T67">
        <v>1571.47</v>
      </c>
      <c r="W67">
        <v>1571.47</v>
      </c>
      <c r="Y67">
        <v>1</v>
      </c>
      <c r="Z67" t="s">
        <v>75</v>
      </c>
      <c r="AF67">
        <v>0</v>
      </c>
      <c r="AG67">
        <v>0</v>
      </c>
      <c r="AH67">
        <v>0</v>
      </c>
      <c r="AI67">
        <v>0</v>
      </c>
      <c r="AJ67">
        <v>0</v>
      </c>
      <c r="AL67">
        <v>0</v>
      </c>
      <c r="AO67" t="s">
        <v>92</v>
      </c>
      <c r="AP67" t="s">
        <v>93</v>
      </c>
      <c r="AQ67" t="s">
        <v>92</v>
      </c>
      <c r="AT67">
        <v>0</v>
      </c>
      <c r="AU67">
        <v>0</v>
      </c>
      <c r="AX67" t="s">
        <v>76</v>
      </c>
      <c r="AY67" s="24" t="s">
        <v>1256</v>
      </c>
      <c r="BA67" t="s">
        <v>1259</v>
      </c>
      <c r="BG67">
        <v>10</v>
      </c>
      <c r="BH67" t="s">
        <v>1245</v>
      </c>
      <c r="BI67" t="s">
        <v>1217</v>
      </c>
    </row>
    <row r="68" spans="1:61" x14ac:dyDescent="0.25">
      <c r="A68" t="s">
        <v>1285</v>
      </c>
      <c r="D68">
        <v>214777153</v>
      </c>
      <c r="E68" t="s">
        <v>1215</v>
      </c>
      <c r="G68" t="s">
        <v>1244</v>
      </c>
      <c r="H68">
        <v>91590</v>
      </c>
      <c r="I68" t="s">
        <v>1247</v>
      </c>
      <c r="J68" t="s">
        <v>1229</v>
      </c>
      <c r="M68" t="s">
        <v>1255</v>
      </c>
      <c r="R68" t="s">
        <v>77</v>
      </c>
      <c r="S68">
        <v>2330.62</v>
      </c>
      <c r="T68">
        <v>634.5604594289</v>
      </c>
      <c r="W68">
        <v>634.5604594289</v>
      </c>
      <c r="Y68">
        <v>1</v>
      </c>
      <c r="Z68" t="s">
        <v>1286</v>
      </c>
      <c r="AF68">
        <v>0</v>
      </c>
      <c r="AG68">
        <v>0</v>
      </c>
      <c r="AH68">
        <v>0</v>
      </c>
      <c r="AI68">
        <v>0</v>
      </c>
      <c r="AJ68">
        <v>0</v>
      </c>
      <c r="AL68">
        <v>0</v>
      </c>
      <c r="AO68" t="s">
        <v>92</v>
      </c>
      <c r="AP68" t="s">
        <v>93</v>
      </c>
      <c r="AQ68" t="s">
        <v>92</v>
      </c>
      <c r="AT68">
        <v>-3.2800000000000003E-2</v>
      </c>
      <c r="AU68">
        <v>0</v>
      </c>
      <c r="AX68" t="s">
        <v>76</v>
      </c>
      <c r="AY68" s="24" t="s">
        <v>1287</v>
      </c>
      <c r="BA68" t="s">
        <v>1257</v>
      </c>
      <c r="BG68">
        <v>10</v>
      </c>
      <c r="BH68" t="s">
        <v>1245</v>
      </c>
      <c r="BI68" t="s">
        <v>1217</v>
      </c>
    </row>
    <row r="69" spans="1:61" x14ac:dyDescent="0.25">
      <c r="A69" t="s">
        <v>1288</v>
      </c>
      <c r="D69">
        <v>214777154</v>
      </c>
      <c r="E69" t="s">
        <v>1215</v>
      </c>
      <c r="G69" t="s">
        <v>1244</v>
      </c>
      <c r="H69">
        <v>91590</v>
      </c>
      <c r="I69" t="s">
        <v>1254</v>
      </c>
      <c r="J69" t="s">
        <v>1229</v>
      </c>
      <c r="M69" t="s">
        <v>1255</v>
      </c>
      <c r="R69" t="s">
        <v>77</v>
      </c>
      <c r="S69">
        <v>2754.73</v>
      </c>
      <c r="T69">
        <v>326.11088761680003</v>
      </c>
      <c r="W69">
        <v>326.11088761680003</v>
      </c>
      <c r="Y69">
        <v>1</v>
      </c>
      <c r="Z69" t="s">
        <v>1289</v>
      </c>
      <c r="AF69">
        <v>0</v>
      </c>
      <c r="AG69">
        <v>0</v>
      </c>
      <c r="AH69">
        <v>0</v>
      </c>
      <c r="AI69">
        <v>0</v>
      </c>
      <c r="AJ69">
        <v>0</v>
      </c>
      <c r="AL69">
        <v>0</v>
      </c>
      <c r="AO69" t="s">
        <v>92</v>
      </c>
      <c r="AP69" t="s">
        <v>93</v>
      </c>
      <c r="AQ69" t="s">
        <v>92</v>
      </c>
      <c r="AT69">
        <v>-2.7566000000000002</v>
      </c>
      <c r="AU69">
        <v>0</v>
      </c>
      <c r="AX69" t="s">
        <v>76</v>
      </c>
      <c r="AY69" s="24" t="s">
        <v>1290</v>
      </c>
      <c r="BA69" t="s">
        <v>1257</v>
      </c>
      <c r="BG69">
        <v>10</v>
      </c>
      <c r="BH69" t="s">
        <v>1245</v>
      </c>
      <c r="BI69" t="s">
        <v>1217</v>
      </c>
    </row>
    <row r="70" spans="1:61" x14ac:dyDescent="0.25">
      <c r="A70" t="s">
        <v>1473</v>
      </c>
      <c r="D70">
        <v>214777155</v>
      </c>
      <c r="E70" t="s">
        <v>1215</v>
      </c>
      <c r="G70" t="s">
        <v>1244</v>
      </c>
      <c r="H70">
        <v>91590</v>
      </c>
      <c r="I70" t="s">
        <v>1247</v>
      </c>
      <c r="J70" t="s">
        <v>1229</v>
      </c>
      <c r="M70" t="s">
        <v>1255</v>
      </c>
      <c r="R70" t="s">
        <v>74</v>
      </c>
      <c r="S70">
        <v>-217.28</v>
      </c>
      <c r="T70">
        <v>-190.08067231999999</v>
      </c>
      <c r="W70">
        <v>-190.08067231999999</v>
      </c>
      <c r="Y70">
        <v>1</v>
      </c>
      <c r="Z70" t="s">
        <v>1276</v>
      </c>
      <c r="AF70">
        <v>0</v>
      </c>
      <c r="AG70">
        <v>0</v>
      </c>
      <c r="AH70">
        <v>0</v>
      </c>
      <c r="AI70">
        <v>0</v>
      </c>
      <c r="AJ70">
        <v>0</v>
      </c>
      <c r="AL70">
        <v>0</v>
      </c>
      <c r="AO70" t="s">
        <v>92</v>
      </c>
      <c r="AP70" t="s">
        <v>93</v>
      </c>
      <c r="AQ70" t="s">
        <v>92</v>
      </c>
      <c r="AT70">
        <v>-2.4786000000000001</v>
      </c>
      <c r="AU70">
        <v>0</v>
      </c>
      <c r="AX70" t="s">
        <v>76</v>
      </c>
      <c r="AY70" s="24" t="s">
        <v>1277</v>
      </c>
      <c r="BA70" t="s">
        <v>1257</v>
      </c>
      <c r="BG70">
        <v>10</v>
      </c>
      <c r="BH70" t="s">
        <v>1245</v>
      </c>
      <c r="BI70" t="s">
        <v>1217</v>
      </c>
    </row>
    <row r="71" spans="1:61" x14ac:dyDescent="0.25">
      <c r="A71" t="s">
        <v>1291</v>
      </c>
      <c r="D71">
        <v>214777156</v>
      </c>
      <c r="E71" t="s">
        <v>1215</v>
      </c>
      <c r="G71" t="s">
        <v>1244</v>
      </c>
      <c r="H71">
        <v>91590</v>
      </c>
      <c r="I71" t="s">
        <v>1247</v>
      </c>
      <c r="J71" t="s">
        <v>1229</v>
      </c>
      <c r="M71" t="s">
        <v>1255</v>
      </c>
      <c r="R71" t="s">
        <v>77</v>
      </c>
      <c r="S71">
        <v>36621.54</v>
      </c>
      <c r="T71">
        <v>472.87157025905998</v>
      </c>
      <c r="W71">
        <v>472.87157025905998</v>
      </c>
      <c r="Y71">
        <v>1</v>
      </c>
      <c r="Z71" t="s">
        <v>1292</v>
      </c>
      <c r="AF71">
        <v>0</v>
      </c>
      <c r="AG71">
        <v>0</v>
      </c>
      <c r="AH71">
        <v>0</v>
      </c>
      <c r="AI71">
        <v>0</v>
      </c>
      <c r="AJ71">
        <v>0</v>
      </c>
      <c r="AL71">
        <v>0</v>
      </c>
      <c r="AO71" t="s">
        <v>92</v>
      </c>
      <c r="AP71" t="s">
        <v>93</v>
      </c>
      <c r="AQ71" t="s">
        <v>92</v>
      </c>
      <c r="AT71">
        <v>-1.9443999999999999</v>
      </c>
      <c r="AU71">
        <v>0</v>
      </c>
      <c r="AX71" t="s">
        <v>76</v>
      </c>
      <c r="AY71" s="24" t="s">
        <v>1293</v>
      </c>
      <c r="BA71" t="s">
        <v>1257</v>
      </c>
      <c r="BG71">
        <v>10</v>
      </c>
      <c r="BH71" t="s">
        <v>1245</v>
      </c>
      <c r="BI71" t="s">
        <v>1217</v>
      </c>
    </row>
    <row r="72" spans="1:61" x14ac:dyDescent="0.25">
      <c r="A72" t="s">
        <v>1294</v>
      </c>
      <c r="D72">
        <v>214777157</v>
      </c>
      <c r="E72" t="s">
        <v>1215</v>
      </c>
      <c r="G72" t="s">
        <v>1244</v>
      </c>
      <c r="H72">
        <v>91590</v>
      </c>
      <c r="I72" t="s">
        <v>1247</v>
      </c>
      <c r="J72" t="s">
        <v>1229</v>
      </c>
      <c r="M72" t="s">
        <v>1255</v>
      </c>
      <c r="R72" t="s">
        <v>77</v>
      </c>
      <c r="S72">
        <v>9345.91</v>
      </c>
      <c r="T72">
        <v>6034.7742193271397</v>
      </c>
      <c r="W72">
        <v>6034.7742193271397</v>
      </c>
      <c r="Y72">
        <v>1</v>
      </c>
      <c r="Z72" t="s">
        <v>1295</v>
      </c>
      <c r="AF72">
        <v>0</v>
      </c>
      <c r="AG72">
        <v>0</v>
      </c>
      <c r="AH72">
        <v>0</v>
      </c>
      <c r="AI72">
        <v>0</v>
      </c>
      <c r="AJ72">
        <v>0</v>
      </c>
      <c r="AL72">
        <v>0</v>
      </c>
      <c r="AO72" t="s">
        <v>92</v>
      </c>
      <c r="AP72" t="s">
        <v>93</v>
      </c>
      <c r="AQ72" t="s">
        <v>92</v>
      </c>
      <c r="AT72">
        <v>-50.7712</v>
      </c>
      <c r="AU72">
        <v>0</v>
      </c>
      <c r="AX72" t="s">
        <v>76</v>
      </c>
      <c r="AY72" s="24" t="s">
        <v>1296</v>
      </c>
      <c r="BA72" t="s">
        <v>1257</v>
      </c>
      <c r="BG72">
        <v>10</v>
      </c>
      <c r="BH72" t="s">
        <v>1245</v>
      </c>
      <c r="BI72" t="s">
        <v>1217</v>
      </c>
    </row>
    <row r="73" spans="1:61" x14ac:dyDescent="0.25">
      <c r="A73" t="s">
        <v>1297</v>
      </c>
      <c r="D73">
        <v>214777158</v>
      </c>
      <c r="E73" t="s">
        <v>1215</v>
      </c>
      <c r="G73" t="s">
        <v>1244</v>
      </c>
      <c r="H73">
        <v>91590</v>
      </c>
      <c r="I73" t="s">
        <v>1247</v>
      </c>
      <c r="J73" t="s">
        <v>1229</v>
      </c>
      <c r="M73" t="s">
        <v>1255</v>
      </c>
      <c r="R73" t="s">
        <v>77</v>
      </c>
      <c r="S73">
        <v>10539.1</v>
      </c>
      <c r="T73">
        <v>10539.1</v>
      </c>
      <c r="W73">
        <v>10539.1</v>
      </c>
      <c r="Y73">
        <v>1</v>
      </c>
      <c r="Z73" t="s">
        <v>1298</v>
      </c>
      <c r="AF73">
        <v>0</v>
      </c>
      <c r="AG73">
        <v>0</v>
      </c>
      <c r="AH73">
        <v>0</v>
      </c>
      <c r="AI73">
        <v>0</v>
      </c>
      <c r="AJ73">
        <v>0</v>
      </c>
      <c r="AL73">
        <v>0</v>
      </c>
      <c r="AO73" t="s">
        <v>92</v>
      </c>
      <c r="AP73" t="s">
        <v>93</v>
      </c>
      <c r="AQ73" t="s">
        <v>92</v>
      </c>
      <c r="AT73">
        <v>0</v>
      </c>
      <c r="AU73">
        <v>0</v>
      </c>
      <c r="AX73" t="s">
        <v>76</v>
      </c>
      <c r="AY73" s="24" t="s">
        <v>1299</v>
      </c>
      <c r="BA73" t="s">
        <v>1257</v>
      </c>
      <c r="BG73">
        <v>10</v>
      </c>
      <c r="BH73" t="s">
        <v>1245</v>
      </c>
      <c r="BI73" t="s">
        <v>1217</v>
      </c>
    </row>
    <row r="74" spans="1:61" x14ac:dyDescent="0.25">
      <c r="A74" t="s">
        <v>1300</v>
      </c>
      <c r="D74">
        <v>214777159</v>
      </c>
      <c r="E74" t="s">
        <v>1215</v>
      </c>
      <c r="G74" t="s">
        <v>1244</v>
      </c>
      <c r="H74">
        <v>91590</v>
      </c>
      <c r="I74" t="s">
        <v>1247</v>
      </c>
      <c r="J74" t="s">
        <v>1229</v>
      </c>
      <c r="M74" t="s">
        <v>1255</v>
      </c>
      <c r="R74" t="s">
        <v>77</v>
      </c>
      <c r="S74">
        <v>171.51</v>
      </c>
      <c r="T74">
        <v>70.077645306329998</v>
      </c>
      <c r="W74">
        <v>70.077645306329998</v>
      </c>
      <c r="Y74">
        <v>1</v>
      </c>
      <c r="Z74" t="s">
        <v>1301</v>
      </c>
      <c r="AF74">
        <v>0</v>
      </c>
      <c r="AG74">
        <v>0</v>
      </c>
      <c r="AH74">
        <v>0</v>
      </c>
      <c r="AI74">
        <v>0</v>
      </c>
      <c r="AJ74">
        <v>0</v>
      </c>
      <c r="AL74">
        <v>0</v>
      </c>
      <c r="AO74" t="s">
        <v>92</v>
      </c>
      <c r="AP74" t="s">
        <v>93</v>
      </c>
      <c r="AQ74" t="s">
        <v>92</v>
      </c>
      <c r="AT74">
        <v>-1.1628000000000001</v>
      </c>
      <c r="AU74">
        <v>0</v>
      </c>
      <c r="AX74" t="s">
        <v>76</v>
      </c>
      <c r="AY74" s="24" t="s">
        <v>1302</v>
      </c>
      <c r="BA74" t="s">
        <v>1257</v>
      </c>
      <c r="BG74">
        <v>10</v>
      </c>
      <c r="BH74" t="s">
        <v>1245</v>
      </c>
      <c r="BI74" t="s">
        <v>1217</v>
      </c>
    </row>
    <row r="75" spans="1:61" x14ac:dyDescent="0.25">
      <c r="A75" t="s">
        <v>1652</v>
      </c>
      <c r="D75">
        <v>214777160</v>
      </c>
      <c r="E75" t="s">
        <v>1215</v>
      </c>
      <c r="G75" t="s">
        <v>1244</v>
      </c>
      <c r="H75">
        <v>91590</v>
      </c>
      <c r="I75" t="s">
        <v>1247</v>
      </c>
      <c r="J75" t="s">
        <v>1229</v>
      </c>
      <c r="M75" t="s">
        <v>1255</v>
      </c>
      <c r="R75" t="s">
        <v>77</v>
      </c>
      <c r="S75">
        <v>213986.12</v>
      </c>
      <c r="T75">
        <v>190977.48049885599</v>
      </c>
      <c r="W75">
        <v>190977.48049885599</v>
      </c>
      <c r="Y75">
        <v>1</v>
      </c>
      <c r="Z75" t="s">
        <v>1278</v>
      </c>
      <c r="AF75">
        <v>0</v>
      </c>
      <c r="AG75">
        <v>0</v>
      </c>
      <c r="AH75">
        <v>0</v>
      </c>
      <c r="AI75">
        <v>0</v>
      </c>
      <c r="AJ75">
        <v>0</v>
      </c>
      <c r="AL75">
        <v>0</v>
      </c>
      <c r="AO75" t="s">
        <v>92</v>
      </c>
      <c r="AP75" t="s">
        <v>93</v>
      </c>
      <c r="AQ75" t="s">
        <v>92</v>
      </c>
      <c r="AT75">
        <v>-2014.2428</v>
      </c>
      <c r="AU75">
        <v>0</v>
      </c>
      <c r="AX75" t="s">
        <v>76</v>
      </c>
      <c r="AY75" s="24" t="s">
        <v>1279</v>
      </c>
      <c r="BA75" t="s">
        <v>1257</v>
      </c>
      <c r="BG75">
        <v>10</v>
      </c>
      <c r="BH75" t="s">
        <v>1245</v>
      </c>
      <c r="BI75" t="s">
        <v>1217</v>
      </c>
    </row>
    <row r="76" spans="1:61" x14ac:dyDescent="0.25">
      <c r="A76" t="s">
        <v>1653</v>
      </c>
      <c r="D76">
        <v>214777161</v>
      </c>
      <c r="E76" t="s">
        <v>1215</v>
      </c>
      <c r="G76" t="s">
        <v>1244</v>
      </c>
      <c r="H76">
        <v>91590</v>
      </c>
      <c r="I76" t="s">
        <v>1247</v>
      </c>
      <c r="J76" t="s">
        <v>1229</v>
      </c>
      <c r="M76" t="s">
        <v>1255</v>
      </c>
      <c r="R76" t="s">
        <v>74</v>
      </c>
      <c r="S76">
        <v>-28143.45</v>
      </c>
      <c r="T76">
        <v>-29470.790846016898</v>
      </c>
      <c r="W76">
        <v>-29470.790846016898</v>
      </c>
      <c r="Y76">
        <v>1</v>
      </c>
      <c r="Z76" t="s">
        <v>1303</v>
      </c>
      <c r="AF76">
        <v>0</v>
      </c>
      <c r="AG76">
        <v>0</v>
      </c>
      <c r="AH76">
        <v>0</v>
      </c>
      <c r="AI76">
        <v>0</v>
      </c>
      <c r="AJ76">
        <v>0</v>
      </c>
      <c r="AL76">
        <v>0</v>
      </c>
      <c r="AO76" t="s">
        <v>92</v>
      </c>
      <c r="AP76" t="s">
        <v>93</v>
      </c>
      <c r="AQ76" t="s">
        <v>92</v>
      </c>
      <c r="AT76">
        <v>-400.13510000000002</v>
      </c>
      <c r="AU76">
        <v>0</v>
      </c>
      <c r="AX76" t="s">
        <v>76</v>
      </c>
      <c r="AY76" s="24" t="s">
        <v>1304</v>
      </c>
      <c r="BA76" t="s">
        <v>1257</v>
      </c>
      <c r="BG76">
        <v>10</v>
      </c>
      <c r="BH76" t="s">
        <v>1245</v>
      </c>
      <c r="BI76" t="s">
        <v>1217</v>
      </c>
    </row>
    <row r="77" spans="1:61" x14ac:dyDescent="0.25">
      <c r="A77" t="s">
        <v>1305</v>
      </c>
      <c r="D77">
        <v>214777162</v>
      </c>
      <c r="E77" t="s">
        <v>1215</v>
      </c>
      <c r="G77" t="s">
        <v>1244</v>
      </c>
      <c r="H77">
        <v>91590</v>
      </c>
      <c r="I77" t="s">
        <v>1247</v>
      </c>
      <c r="J77" t="s">
        <v>1229</v>
      </c>
      <c r="M77" t="s">
        <v>1255</v>
      </c>
      <c r="R77" t="s">
        <v>77</v>
      </c>
      <c r="S77">
        <v>14840968</v>
      </c>
      <c r="T77">
        <v>24811.041256592001</v>
      </c>
      <c r="W77">
        <v>24811.041256592001</v>
      </c>
      <c r="Y77">
        <v>1</v>
      </c>
      <c r="Z77" t="s">
        <v>1306</v>
      </c>
      <c r="AF77">
        <v>0</v>
      </c>
      <c r="AG77">
        <v>0</v>
      </c>
      <c r="AH77">
        <v>0</v>
      </c>
      <c r="AI77">
        <v>0</v>
      </c>
      <c r="AJ77">
        <v>0</v>
      </c>
      <c r="AL77">
        <v>0</v>
      </c>
      <c r="AO77" t="s">
        <v>92</v>
      </c>
      <c r="AP77" t="s">
        <v>93</v>
      </c>
      <c r="AQ77" t="s">
        <v>92</v>
      </c>
      <c r="AT77">
        <v>-273.24299999999999</v>
      </c>
      <c r="AU77">
        <v>0</v>
      </c>
      <c r="AX77" t="s">
        <v>76</v>
      </c>
      <c r="AY77" s="24" t="s">
        <v>1307</v>
      </c>
      <c r="BA77" t="s">
        <v>1257</v>
      </c>
      <c r="BG77">
        <v>10</v>
      </c>
      <c r="BH77" t="s">
        <v>1245</v>
      </c>
      <c r="BI77" t="s">
        <v>1217</v>
      </c>
    </row>
    <row r="78" spans="1:61" x14ac:dyDescent="0.25">
      <c r="A78" t="s">
        <v>1308</v>
      </c>
      <c r="D78">
        <v>214777163</v>
      </c>
      <c r="E78" t="s">
        <v>1215</v>
      </c>
      <c r="G78" t="s">
        <v>1244</v>
      </c>
      <c r="H78">
        <v>91590</v>
      </c>
      <c r="I78" t="s">
        <v>1247</v>
      </c>
      <c r="J78" t="s">
        <v>1229</v>
      </c>
      <c r="M78" t="s">
        <v>1255</v>
      </c>
      <c r="R78" t="s">
        <v>77</v>
      </c>
      <c r="S78">
        <v>14011.58</v>
      </c>
      <c r="T78">
        <v>2265.78204254402</v>
      </c>
      <c r="W78">
        <v>2265.78204254402</v>
      </c>
      <c r="Y78">
        <v>1</v>
      </c>
      <c r="Z78" t="s">
        <v>1309</v>
      </c>
      <c r="AF78">
        <v>0</v>
      </c>
      <c r="AG78">
        <v>0</v>
      </c>
      <c r="AH78">
        <v>0</v>
      </c>
      <c r="AI78">
        <v>0</v>
      </c>
      <c r="AJ78">
        <v>0</v>
      </c>
      <c r="AL78">
        <v>0</v>
      </c>
      <c r="AO78" t="s">
        <v>92</v>
      </c>
      <c r="AP78" t="s">
        <v>93</v>
      </c>
      <c r="AQ78" t="s">
        <v>92</v>
      </c>
      <c r="AT78">
        <v>-5.0974000000000004</v>
      </c>
      <c r="AU78">
        <v>0</v>
      </c>
      <c r="AX78" t="s">
        <v>76</v>
      </c>
      <c r="AY78" s="24" t="s">
        <v>1310</v>
      </c>
      <c r="BA78" t="s">
        <v>1257</v>
      </c>
      <c r="BG78">
        <v>10</v>
      </c>
      <c r="BH78" t="s">
        <v>1245</v>
      </c>
      <c r="BI78" t="s">
        <v>1217</v>
      </c>
    </row>
    <row r="79" spans="1:61" x14ac:dyDescent="0.25">
      <c r="A79" t="s">
        <v>1311</v>
      </c>
      <c r="D79">
        <v>214777164</v>
      </c>
      <c r="E79" t="s">
        <v>1215</v>
      </c>
      <c r="G79" t="s">
        <v>1244</v>
      </c>
      <c r="H79">
        <v>91590</v>
      </c>
      <c r="I79" t="s">
        <v>1247</v>
      </c>
      <c r="J79" t="s">
        <v>1229</v>
      </c>
      <c r="M79" t="s">
        <v>1255</v>
      </c>
      <c r="R79" t="s">
        <v>77</v>
      </c>
      <c r="S79">
        <v>8563.3799999999992</v>
      </c>
      <c r="T79">
        <v>393.34932069467999</v>
      </c>
      <c r="W79">
        <v>393.34932069467999</v>
      </c>
      <c r="Y79">
        <v>1</v>
      </c>
      <c r="Z79" t="s">
        <v>1312</v>
      </c>
      <c r="AF79">
        <v>0</v>
      </c>
      <c r="AG79">
        <v>0</v>
      </c>
      <c r="AH79">
        <v>0</v>
      </c>
      <c r="AI79">
        <v>0</v>
      </c>
      <c r="AJ79">
        <v>0</v>
      </c>
      <c r="AL79">
        <v>0</v>
      </c>
      <c r="AO79" t="s">
        <v>92</v>
      </c>
      <c r="AP79" t="s">
        <v>93</v>
      </c>
      <c r="AQ79" t="s">
        <v>92</v>
      </c>
      <c r="AT79">
        <v>-3.4979</v>
      </c>
      <c r="AU79">
        <v>0</v>
      </c>
      <c r="AX79" t="s">
        <v>76</v>
      </c>
      <c r="AY79" s="24" t="s">
        <v>1313</v>
      </c>
      <c r="BA79" t="s">
        <v>1257</v>
      </c>
      <c r="BG79">
        <v>10</v>
      </c>
      <c r="BH79" t="s">
        <v>1245</v>
      </c>
      <c r="BI79" t="s">
        <v>1217</v>
      </c>
    </row>
    <row r="80" spans="1:61" x14ac:dyDescent="0.25">
      <c r="A80" t="s">
        <v>1314</v>
      </c>
      <c r="D80">
        <v>214777165</v>
      </c>
      <c r="E80" t="s">
        <v>1215</v>
      </c>
      <c r="G80" t="s">
        <v>1244</v>
      </c>
      <c r="H80">
        <v>91590</v>
      </c>
      <c r="I80" t="s">
        <v>1247</v>
      </c>
      <c r="J80" t="s">
        <v>1229</v>
      </c>
      <c r="M80" t="s">
        <v>1255</v>
      </c>
      <c r="R80" t="s">
        <v>77</v>
      </c>
      <c r="S80">
        <v>149852.1</v>
      </c>
      <c r="T80">
        <v>25426.4534230311</v>
      </c>
      <c r="W80">
        <v>25426.4534230311</v>
      </c>
      <c r="Y80">
        <v>1</v>
      </c>
      <c r="Z80" t="s">
        <v>1315</v>
      </c>
      <c r="AF80">
        <v>0</v>
      </c>
      <c r="AG80">
        <v>0</v>
      </c>
      <c r="AH80">
        <v>0</v>
      </c>
      <c r="AI80">
        <v>0</v>
      </c>
      <c r="AJ80">
        <v>0</v>
      </c>
      <c r="AL80">
        <v>0</v>
      </c>
      <c r="AO80" t="s">
        <v>92</v>
      </c>
      <c r="AP80" t="s">
        <v>93</v>
      </c>
      <c r="AQ80" t="s">
        <v>92</v>
      </c>
      <c r="AT80">
        <v>-212.3509</v>
      </c>
      <c r="AU80">
        <v>0</v>
      </c>
      <c r="AX80" t="s">
        <v>76</v>
      </c>
      <c r="AY80" s="24" t="s">
        <v>1316</v>
      </c>
      <c r="BA80" t="s">
        <v>1257</v>
      </c>
      <c r="BG80">
        <v>10</v>
      </c>
      <c r="BH80" t="s">
        <v>1245</v>
      </c>
      <c r="BI80" t="s">
        <v>1217</v>
      </c>
    </row>
    <row r="81" spans="1:61" x14ac:dyDescent="0.25">
      <c r="A81" t="s">
        <v>1317</v>
      </c>
      <c r="D81">
        <v>214777166</v>
      </c>
      <c r="E81" t="s">
        <v>1215</v>
      </c>
      <c r="G81" t="s">
        <v>1244</v>
      </c>
      <c r="H81">
        <v>91590</v>
      </c>
      <c r="I81" t="s">
        <v>1247</v>
      </c>
      <c r="J81" t="s">
        <v>1229</v>
      </c>
      <c r="M81" t="s">
        <v>1255</v>
      </c>
      <c r="R81" t="s">
        <v>77</v>
      </c>
      <c r="S81">
        <v>623.15</v>
      </c>
      <c r="T81">
        <v>87.121382618599995</v>
      </c>
      <c r="W81">
        <v>87.121382618599995</v>
      </c>
      <c r="Y81">
        <v>1</v>
      </c>
      <c r="Z81" t="s">
        <v>1246</v>
      </c>
      <c r="AF81">
        <v>0</v>
      </c>
      <c r="AG81">
        <v>0</v>
      </c>
      <c r="AH81">
        <v>0</v>
      </c>
      <c r="AI81">
        <v>0</v>
      </c>
      <c r="AJ81">
        <v>0</v>
      </c>
      <c r="AL81">
        <v>0</v>
      </c>
      <c r="AO81" t="s">
        <v>92</v>
      </c>
      <c r="AP81" t="s">
        <v>93</v>
      </c>
      <c r="AQ81" t="s">
        <v>92</v>
      </c>
      <c r="AT81">
        <v>-0.15740000000000001</v>
      </c>
      <c r="AU81">
        <v>0</v>
      </c>
      <c r="AX81" t="s">
        <v>76</v>
      </c>
      <c r="AY81" s="24" t="s">
        <v>1318</v>
      </c>
      <c r="BA81" t="s">
        <v>1257</v>
      </c>
      <c r="BG81">
        <v>10</v>
      </c>
      <c r="BH81" t="s">
        <v>1245</v>
      </c>
      <c r="BI81" t="s">
        <v>1217</v>
      </c>
    </row>
    <row r="82" spans="1:61" x14ac:dyDescent="0.25">
      <c r="A82" t="s">
        <v>1427</v>
      </c>
      <c r="D82">
        <v>214777167</v>
      </c>
      <c r="E82" t="s">
        <v>1215</v>
      </c>
      <c r="G82" t="s">
        <v>1244</v>
      </c>
      <c r="H82">
        <v>91590</v>
      </c>
      <c r="I82" t="s">
        <v>1254</v>
      </c>
      <c r="J82" t="s">
        <v>1229</v>
      </c>
      <c r="M82" t="s">
        <v>1255</v>
      </c>
      <c r="R82" t="s">
        <v>74</v>
      </c>
      <c r="S82">
        <v>-34065.089999999997</v>
      </c>
      <c r="T82">
        <v>-43020.257119560003</v>
      </c>
      <c r="W82">
        <v>-43020.257119560003</v>
      </c>
      <c r="Y82">
        <v>1</v>
      </c>
      <c r="Z82" t="s">
        <v>1272</v>
      </c>
      <c r="AF82">
        <v>0</v>
      </c>
      <c r="AG82">
        <v>0</v>
      </c>
      <c r="AH82">
        <v>0</v>
      </c>
      <c r="AI82">
        <v>0</v>
      </c>
      <c r="AJ82">
        <v>0</v>
      </c>
      <c r="AL82">
        <v>0</v>
      </c>
      <c r="AO82" t="s">
        <v>92</v>
      </c>
      <c r="AP82" t="s">
        <v>93</v>
      </c>
      <c r="AQ82" t="s">
        <v>92</v>
      </c>
      <c r="AT82">
        <v>-484.70190000000002</v>
      </c>
      <c r="AU82">
        <v>0</v>
      </c>
      <c r="AX82" t="s">
        <v>76</v>
      </c>
      <c r="AY82" s="24" t="s">
        <v>1273</v>
      </c>
      <c r="BA82" t="s">
        <v>1257</v>
      </c>
      <c r="BG82">
        <v>10</v>
      </c>
      <c r="BH82" t="s">
        <v>1245</v>
      </c>
      <c r="BI82" t="s">
        <v>1217</v>
      </c>
    </row>
    <row r="83" spans="1:61" x14ac:dyDescent="0.25">
      <c r="A83" t="s">
        <v>1654</v>
      </c>
      <c r="D83">
        <v>214777168</v>
      </c>
      <c r="E83" t="s">
        <v>1215</v>
      </c>
      <c r="G83" t="s">
        <v>1244</v>
      </c>
      <c r="H83">
        <v>91590</v>
      </c>
      <c r="I83" t="s">
        <v>1247</v>
      </c>
      <c r="J83" t="s">
        <v>1229</v>
      </c>
      <c r="M83" t="s">
        <v>1255</v>
      </c>
      <c r="R83" t="s">
        <v>77</v>
      </c>
      <c r="S83">
        <v>78412.350000000006</v>
      </c>
      <c r="T83">
        <v>127081.397969115</v>
      </c>
      <c r="W83">
        <v>127081.397969115</v>
      </c>
      <c r="Y83">
        <v>1</v>
      </c>
      <c r="Z83" t="s">
        <v>1319</v>
      </c>
      <c r="AF83">
        <v>0</v>
      </c>
      <c r="AG83">
        <v>0</v>
      </c>
      <c r="AH83">
        <v>0</v>
      </c>
      <c r="AI83">
        <v>0</v>
      </c>
      <c r="AJ83">
        <v>0</v>
      </c>
      <c r="AL83">
        <v>0</v>
      </c>
      <c r="AO83" t="s">
        <v>92</v>
      </c>
      <c r="AP83" t="s">
        <v>93</v>
      </c>
      <c r="AQ83" t="s">
        <v>92</v>
      </c>
      <c r="AT83">
        <v>-1258.1105</v>
      </c>
      <c r="AU83">
        <v>0</v>
      </c>
      <c r="AX83" t="s">
        <v>76</v>
      </c>
      <c r="AY83" s="24" t="s">
        <v>1320</v>
      </c>
      <c r="BA83" t="s">
        <v>1257</v>
      </c>
      <c r="BG83">
        <v>10</v>
      </c>
      <c r="BH83" t="s">
        <v>1245</v>
      </c>
      <c r="BI83" t="s">
        <v>1217</v>
      </c>
    </row>
    <row r="84" spans="1:61" x14ac:dyDescent="0.25">
      <c r="A84" t="s">
        <v>1459</v>
      </c>
      <c r="D84">
        <v>214777169</v>
      </c>
      <c r="E84" t="s">
        <v>1215</v>
      </c>
      <c r="G84" t="s">
        <v>1244</v>
      </c>
      <c r="H84">
        <v>91590</v>
      </c>
      <c r="I84" t="s">
        <v>1247</v>
      </c>
      <c r="J84" t="s">
        <v>1229</v>
      </c>
      <c r="M84" t="s">
        <v>1255</v>
      </c>
      <c r="R84" t="s">
        <v>74</v>
      </c>
      <c r="S84">
        <v>-82143.710000000006</v>
      </c>
      <c r="T84">
        <v>-10576.500124807801</v>
      </c>
      <c r="W84">
        <v>-10576.500124807801</v>
      </c>
      <c r="Y84">
        <v>1</v>
      </c>
      <c r="Z84" t="s">
        <v>1321</v>
      </c>
      <c r="AF84">
        <v>0</v>
      </c>
      <c r="AG84">
        <v>0</v>
      </c>
      <c r="AH84">
        <v>0</v>
      </c>
      <c r="AI84">
        <v>0</v>
      </c>
      <c r="AJ84">
        <v>0</v>
      </c>
      <c r="AL84">
        <v>0</v>
      </c>
      <c r="AO84" t="s">
        <v>92</v>
      </c>
      <c r="AP84" t="s">
        <v>93</v>
      </c>
      <c r="AQ84" t="s">
        <v>92</v>
      </c>
      <c r="AT84">
        <v>-4.0553999999999997</v>
      </c>
      <c r="AU84">
        <v>0</v>
      </c>
      <c r="AX84" t="s">
        <v>76</v>
      </c>
      <c r="AY84" s="24" t="s">
        <v>1322</v>
      </c>
      <c r="BA84" t="s">
        <v>1257</v>
      </c>
      <c r="BG84">
        <v>10</v>
      </c>
      <c r="BH84" t="s">
        <v>1245</v>
      </c>
      <c r="BI84" t="s">
        <v>1217</v>
      </c>
    </row>
    <row r="85" spans="1:61" x14ac:dyDescent="0.25">
      <c r="A85" t="s">
        <v>1323</v>
      </c>
      <c r="D85">
        <v>214777170</v>
      </c>
      <c r="E85" t="s">
        <v>1215</v>
      </c>
      <c r="G85" t="s">
        <v>1244</v>
      </c>
      <c r="H85">
        <v>91590</v>
      </c>
      <c r="I85" t="s">
        <v>1247</v>
      </c>
      <c r="J85" t="s">
        <v>1229</v>
      </c>
      <c r="M85" t="s">
        <v>1255</v>
      </c>
      <c r="R85" t="s">
        <v>77</v>
      </c>
      <c r="S85">
        <v>6372.22</v>
      </c>
      <c r="T85">
        <v>1050.52726698226</v>
      </c>
      <c r="W85">
        <v>1050.52726698226</v>
      </c>
      <c r="Y85">
        <v>1</v>
      </c>
      <c r="Z85" t="s">
        <v>1324</v>
      </c>
      <c r="AF85">
        <v>0</v>
      </c>
      <c r="AG85">
        <v>0</v>
      </c>
      <c r="AH85">
        <v>0</v>
      </c>
      <c r="AI85">
        <v>0</v>
      </c>
      <c r="AJ85">
        <v>0</v>
      </c>
      <c r="AL85">
        <v>0</v>
      </c>
      <c r="AO85" t="s">
        <v>92</v>
      </c>
      <c r="AP85" t="s">
        <v>93</v>
      </c>
      <c r="AQ85" t="s">
        <v>92</v>
      </c>
      <c r="AT85">
        <v>-9.3366000000000007</v>
      </c>
      <c r="AU85">
        <v>0</v>
      </c>
      <c r="AX85" t="s">
        <v>76</v>
      </c>
      <c r="AY85" s="24" t="s">
        <v>1325</v>
      </c>
      <c r="BA85" t="s">
        <v>1257</v>
      </c>
      <c r="BG85">
        <v>10</v>
      </c>
      <c r="BH85" t="s">
        <v>1245</v>
      </c>
      <c r="BI85" t="s">
        <v>1217</v>
      </c>
    </row>
    <row r="86" spans="1:61" x14ac:dyDescent="0.25">
      <c r="A86" t="s">
        <v>1474</v>
      </c>
      <c r="D86">
        <v>214777171</v>
      </c>
      <c r="E86" t="s">
        <v>1215</v>
      </c>
      <c r="G86" t="s">
        <v>1244</v>
      </c>
      <c r="H86">
        <v>91590</v>
      </c>
      <c r="I86" t="s">
        <v>1247</v>
      </c>
      <c r="J86" t="s">
        <v>1229</v>
      </c>
      <c r="M86" t="s">
        <v>1255</v>
      </c>
      <c r="R86" t="s">
        <v>77</v>
      </c>
      <c r="S86">
        <v>5236.25</v>
      </c>
      <c r="T86">
        <v>21.278821409999999</v>
      </c>
      <c r="W86">
        <v>21.278821409999999</v>
      </c>
      <c r="Y86">
        <v>1</v>
      </c>
      <c r="Z86" t="s">
        <v>1326</v>
      </c>
      <c r="AF86">
        <v>0</v>
      </c>
      <c r="AG86">
        <v>0</v>
      </c>
      <c r="AH86">
        <v>0</v>
      </c>
      <c r="AI86">
        <v>0</v>
      </c>
      <c r="AJ86">
        <v>0</v>
      </c>
      <c r="AL86">
        <v>0</v>
      </c>
      <c r="AO86" t="s">
        <v>92</v>
      </c>
      <c r="AP86" t="s">
        <v>93</v>
      </c>
      <c r="AQ86" t="s">
        <v>92</v>
      </c>
      <c r="AT86">
        <v>-0.2651</v>
      </c>
      <c r="AU86">
        <v>0</v>
      </c>
      <c r="AX86" t="s">
        <v>76</v>
      </c>
      <c r="AY86" s="24" t="s">
        <v>1327</v>
      </c>
      <c r="BA86" t="s">
        <v>1257</v>
      </c>
      <c r="BG86">
        <v>10</v>
      </c>
      <c r="BH86" t="s">
        <v>1245</v>
      </c>
      <c r="BI86" t="s">
        <v>1217</v>
      </c>
    </row>
    <row r="87" spans="1:61" x14ac:dyDescent="0.25">
      <c r="A87" t="s">
        <v>1328</v>
      </c>
      <c r="D87">
        <v>214777172</v>
      </c>
      <c r="E87" t="s">
        <v>1215</v>
      </c>
      <c r="G87" t="s">
        <v>1244</v>
      </c>
      <c r="H87">
        <v>91590</v>
      </c>
      <c r="I87" t="s">
        <v>1247</v>
      </c>
      <c r="J87" t="s">
        <v>1229</v>
      </c>
      <c r="M87" t="s">
        <v>1255</v>
      </c>
      <c r="R87" t="s">
        <v>77</v>
      </c>
      <c r="S87">
        <v>16305949.57</v>
      </c>
      <c r="T87">
        <v>1337.1857004374201</v>
      </c>
      <c r="W87">
        <v>1337.1857004374201</v>
      </c>
      <c r="Y87">
        <v>1</v>
      </c>
      <c r="Z87" t="s">
        <v>1329</v>
      </c>
      <c r="AF87">
        <v>0</v>
      </c>
      <c r="AG87">
        <v>0</v>
      </c>
      <c r="AH87">
        <v>0</v>
      </c>
      <c r="AI87">
        <v>0</v>
      </c>
      <c r="AJ87">
        <v>0</v>
      </c>
      <c r="AL87">
        <v>0</v>
      </c>
      <c r="AO87" t="s">
        <v>92</v>
      </c>
      <c r="AP87" t="s">
        <v>93</v>
      </c>
      <c r="AQ87" t="s">
        <v>92</v>
      </c>
      <c r="AT87">
        <v>-16.229800000000001</v>
      </c>
      <c r="AU87">
        <v>0</v>
      </c>
      <c r="AX87" t="s">
        <v>76</v>
      </c>
      <c r="AY87" s="24" t="s">
        <v>1330</v>
      </c>
      <c r="BA87" t="s">
        <v>1257</v>
      </c>
      <c r="BG87">
        <v>10</v>
      </c>
      <c r="BH87" t="s">
        <v>1245</v>
      </c>
      <c r="BI87" t="s">
        <v>1217</v>
      </c>
    </row>
    <row r="88" spans="1:61" x14ac:dyDescent="0.25">
      <c r="A88" t="s">
        <v>1655</v>
      </c>
      <c r="D88">
        <v>214777173</v>
      </c>
      <c r="E88" t="s">
        <v>1215</v>
      </c>
      <c r="G88" t="s">
        <v>1244</v>
      </c>
      <c r="H88">
        <v>91590</v>
      </c>
      <c r="I88" t="s">
        <v>1247</v>
      </c>
      <c r="J88" t="s">
        <v>1229</v>
      </c>
      <c r="M88" t="s">
        <v>1255</v>
      </c>
      <c r="R88" t="s">
        <v>77</v>
      </c>
      <c r="S88">
        <v>103188.52</v>
      </c>
      <c r="T88">
        <v>28019.0474353176</v>
      </c>
      <c r="W88">
        <v>28019.0474353176</v>
      </c>
      <c r="Y88">
        <v>1</v>
      </c>
      <c r="Z88" t="s">
        <v>1331</v>
      </c>
      <c r="AF88">
        <v>0</v>
      </c>
      <c r="AG88">
        <v>0</v>
      </c>
      <c r="AH88">
        <v>0</v>
      </c>
      <c r="AI88">
        <v>0</v>
      </c>
      <c r="AJ88">
        <v>0</v>
      </c>
      <c r="AL88">
        <v>0</v>
      </c>
      <c r="AO88" t="s">
        <v>92</v>
      </c>
      <c r="AP88" t="s">
        <v>93</v>
      </c>
      <c r="AQ88" t="s">
        <v>92</v>
      </c>
      <c r="AT88">
        <v>-207.1035</v>
      </c>
      <c r="AU88">
        <v>0</v>
      </c>
      <c r="AX88" t="s">
        <v>76</v>
      </c>
      <c r="AY88" s="24" t="s">
        <v>1332</v>
      </c>
      <c r="BA88" t="s">
        <v>1257</v>
      </c>
      <c r="BG88">
        <v>10</v>
      </c>
      <c r="BH88" t="s">
        <v>1245</v>
      </c>
      <c r="BI88" t="s">
        <v>1217</v>
      </c>
    </row>
    <row r="89" spans="1:61" x14ac:dyDescent="0.25">
      <c r="A89" t="s">
        <v>1460</v>
      </c>
      <c r="D89">
        <v>214777174</v>
      </c>
      <c r="E89" t="s">
        <v>1215</v>
      </c>
      <c r="G89" t="s">
        <v>1244</v>
      </c>
      <c r="H89">
        <v>91590</v>
      </c>
      <c r="I89" t="s">
        <v>1247</v>
      </c>
      <c r="J89" t="s">
        <v>1229</v>
      </c>
      <c r="M89" t="s">
        <v>1255</v>
      </c>
      <c r="R89" t="s">
        <v>74</v>
      </c>
      <c r="S89">
        <v>-999.02</v>
      </c>
      <c r="T89">
        <v>-8.2643270146799992</v>
      </c>
      <c r="W89">
        <v>-8.2643270146799992</v>
      </c>
      <c r="Y89">
        <v>1</v>
      </c>
      <c r="Z89" t="s">
        <v>1333</v>
      </c>
      <c r="AF89">
        <v>0</v>
      </c>
      <c r="AG89">
        <v>0</v>
      </c>
      <c r="AH89">
        <v>0</v>
      </c>
      <c r="AI89">
        <v>0</v>
      </c>
      <c r="AJ89">
        <v>0</v>
      </c>
      <c r="AL89">
        <v>0</v>
      </c>
      <c r="AO89" t="s">
        <v>92</v>
      </c>
      <c r="AP89" t="s">
        <v>93</v>
      </c>
      <c r="AQ89" t="s">
        <v>92</v>
      </c>
      <c r="AT89">
        <v>-7.4700000000000003E-2</v>
      </c>
      <c r="AU89">
        <v>0</v>
      </c>
      <c r="AX89" t="s">
        <v>76</v>
      </c>
      <c r="AY89" s="24" t="s">
        <v>1334</v>
      </c>
      <c r="BA89" t="s">
        <v>1257</v>
      </c>
      <c r="BG89">
        <v>10</v>
      </c>
      <c r="BH89" t="s">
        <v>1245</v>
      </c>
      <c r="BI89" t="s">
        <v>1217</v>
      </c>
    </row>
    <row r="90" spans="1:61" x14ac:dyDescent="0.25">
      <c r="A90" t="s">
        <v>1475</v>
      </c>
      <c r="D90">
        <v>214777175</v>
      </c>
      <c r="E90" t="s">
        <v>1215</v>
      </c>
      <c r="G90" t="s">
        <v>1244</v>
      </c>
      <c r="H90">
        <v>91590</v>
      </c>
      <c r="I90" t="s">
        <v>1247</v>
      </c>
      <c r="J90" t="s">
        <v>1229</v>
      </c>
      <c r="M90" t="s">
        <v>1255</v>
      </c>
      <c r="R90" t="s">
        <v>77</v>
      </c>
      <c r="S90">
        <v>4798455</v>
      </c>
      <c r="T90">
        <v>43747.178343150001</v>
      </c>
      <c r="W90">
        <v>43747.178343150001</v>
      </c>
      <c r="Y90">
        <v>1</v>
      </c>
      <c r="Z90" t="s">
        <v>1335</v>
      </c>
      <c r="AF90">
        <v>0</v>
      </c>
      <c r="AG90">
        <v>0</v>
      </c>
      <c r="AH90">
        <v>0</v>
      </c>
      <c r="AI90">
        <v>0</v>
      </c>
      <c r="AJ90">
        <v>0</v>
      </c>
      <c r="AL90">
        <v>0</v>
      </c>
      <c r="AO90" t="s">
        <v>92</v>
      </c>
      <c r="AP90" t="s">
        <v>93</v>
      </c>
      <c r="AQ90" t="s">
        <v>92</v>
      </c>
      <c r="AT90">
        <v>-762.67600000000004</v>
      </c>
      <c r="AU90">
        <v>0</v>
      </c>
      <c r="AX90" t="s">
        <v>76</v>
      </c>
      <c r="AY90" s="24" t="s">
        <v>1336</v>
      </c>
      <c r="BA90" t="s">
        <v>1257</v>
      </c>
      <c r="BG90">
        <v>10</v>
      </c>
      <c r="BH90" t="s">
        <v>1245</v>
      </c>
      <c r="BI90" t="s">
        <v>1217</v>
      </c>
    </row>
    <row r="91" spans="1:61" x14ac:dyDescent="0.25">
      <c r="A91" t="s">
        <v>1337</v>
      </c>
      <c r="D91">
        <v>214777176</v>
      </c>
      <c r="E91" t="s">
        <v>1215</v>
      </c>
      <c r="G91" t="s">
        <v>1244</v>
      </c>
      <c r="H91">
        <v>91590</v>
      </c>
      <c r="I91" t="s">
        <v>1247</v>
      </c>
      <c r="J91" t="s">
        <v>1229</v>
      </c>
      <c r="M91" t="s">
        <v>1255</v>
      </c>
      <c r="R91" t="s">
        <v>77</v>
      </c>
      <c r="S91">
        <v>8881968</v>
      </c>
      <c r="T91">
        <v>8420.0434902239995</v>
      </c>
      <c r="W91">
        <v>8420.0434902239995</v>
      </c>
      <c r="Y91">
        <v>1</v>
      </c>
      <c r="Z91" t="s">
        <v>1338</v>
      </c>
      <c r="AF91">
        <v>0</v>
      </c>
      <c r="AG91">
        <v>0</v>
      </c>
      <c r="AH91">
        <v>0</v>
      </c>
      <c r="AI91">
        <v>0</v>
      </c>
      <c r="AJ91">
        <v>0</v>
      </c>
      <c r="AL91">
        <v>0</v>
      </c>
      <c r="AO91" t="s">
        <v>92</v>
      </c>
      <c r="AP91" t="s">
        <v>93</v>
      </c>
      <c r="AQ91" t="s">
        <v>92</v>
      </c>
      <c r="AT91">
        <v>-75.158100000000005</v>
      </c>
      <c r="AU91">
        <v>0</v>
      </c>
      <c r="AX91" t="s">
        <v>76</v>
      </c>
      <c r="AY91" s="24" t="s">
        <v>1339</v>
      </c>
      <c r="BA91" t="s">
        <v>1257</v>
      </c>
      <c r="BG91">
        <v>10</v>
      </c>
      <c r="BH91" t="s">
        <v>1245</v>
      </c>
      <c r="BI91" t="s">
        <v>1217</v>
      </c>
    </row>
    <row r="92" spans="1:61" x14ac:dyDescent="0.25">
      <c r="A92" t="s">
        <v>1340</v>
      </c>
      <c r="D92">
        <v>214777177</v>
      </c>
      <c r="E92" t="s">
        <v>1215</v>
      </c>
      <c r="G92" t="s">
        <v>1244</v>
      </c>
      <c r="H92">
        <v>91590</v>
      </c>
      <c r="I92" t="s">
        <v>1247</v>
      </c>
      <c r="J92" t="s">
        <v>1229</v>
      </c>
      <c r="M92" t="s">
        <v>1255</v>
      </c>
      <c r="R92" t="s">
        <v>77</v>
      </c>
      <c r="S92">
        <v>1757.37</v>
      </c>
      <c r="T92">
        <v>13.478314407779999</v>
      </c>
      <c r="W92">
        <v>13.478314407779999</v>
      </c>
      <c r="Y92">
        <v>1</v>
      </c>
      <c r="Z92" t="s">
        <v>1341</v>
      </c>
      <c r="AF92">
        <v>0</v>
      </c>
      <c r="AG92">
        <v>0</v>
      </c>
      <c r="AH92">
        <v>0</v>
      </c>
      <c r="AI92">
        <v>0</v>
      </c>
      <c r="AJ92">
        <v>0</v>
      </c>
      <c r="AL92">
        <v>0</v>
      </c>
      <c r="AO92" t="s">
        <v>92</v>
      </c>
      <c r="AP92" t="s">
        <v>93</v>
      </c>
      <c r="AQ92" t="s">
        <v>92</v>
      </c>
      <c r="AT92">
        <v>-2.92E-2</v>
      </c>
      <c r="AU92">
        <v>0</v>
      </c>
      <c r="AX92" t="s">
        <v>76</v>
      </c>
      <c r="AY92" s="24" t="s">
        <v>1342</v>
      </c>
      <c r="BA92" t="s">
        <v>1257</v>
      </c>
      <c r="BG92">
        <v>10</v>
      </c>
      <c r="BH92" t="s">
        <v>1245</v>
      </c>
      <c r="BI92" t="s">
        <v>1217</v>
      </c>
    </row>
    <row r="93" spans="1:61" x14ac:dyDescent="0.25">
      <c r="A93" t="s">
        <v>1343</v>
      </c>
      <c r="D93">
        <v>214777178</v>
      </c>
      <c r="E93" t="s">
        <v>1215</v>
      </c>
      <c r="G93" t="s">
        <v>1244</v>
      </c>
      <c r="H93">
        <v>91590</v>
      </c>
      <c r="I93" t="s">
        <v>1247</v>
      </c>
      <c r="J93" t="s">
        <v>1229</v>
      </c>
      <c r="M93" t="s">
        <v>1255</v>
      </c>
      <c r="R93" t="s">
        <v>77</v>
      </c>
      <c r="S93">
        <v>8796.65</v>
      </c>
      <c r="T93">
        <v>3217.8831750733498</v>
      </c>
      <c r="W93">
        <v>3217.8831750733498</v>
      </c>
      <c r="Y93">
        <v>1</v>
      </c>
      <c r="Z93" t="s">
        <v>1344</v>
      </c>
      <c r="AF93">
        <v>0</v>
      </c>
      <c r="AG93">
        <v>0</v>
      </c>
      <c r="AH93">
        <v>0</v>
      </c>
      <c r="AI93">
        <v>0</v>
      </c>
      <c r="AJ93">
        <v>0</v>
      </c>
      <c r="AL93">
        <v>0</v>
      </c>
      <c r="AO93" t="s">
        <v>92</v>
      </c>
      <c r="AP93" t="s">
        <v>93</v>
      </c>
      <c r="AQ93" t="s">
        <v>92</v>
      </c>
      <c r="AT93">
        <v>-27.145900000000001</v>
      </c>
      <c r="AU93">
        <v>0</v>
      </c>
      <c r="AX93" t="s">
        <v>76</v>
      </c>
      <c r="AY93" s="24" t="s">
        <v>1345</v>
      </c>
      <c r="BA93" t="s">
        <v>1257</v>
      </c>
      <c r="BG93">
        <v>10</v>
      </c>
      <c r="BH93" t="s">
        <v>1245</v>
      </c>
      <c r="BI93" t="s">
        <v>1217</v>
      </c>
    </row>
    <row r="94" spans="1:61" x14ac:dyDescent="0.25">
      <c r="A94" t="s">
        <v>1346</v>
      </c>
      <c r="D94">
        <v>214777179</v>
      </c>
      <c r="E94" t="s">
        <v>1215</v>
      </c>
      <c r="G94" t="s">
        <v>1244</v>
      </c>
      <c r="H94">
        <v>91590</v>
      </c>
      <c r="I94" t="s">
        <v>1247</v>
      </c>
      <c r="J94" t="s">
        <v>1229</v>
      </c>
      <c r="M94" t="s">
        <v>1255</v>
      </c>
      <c r="R94" t="s">
        <v>77</v>
      </c>
      <c r="S94">
        <v>1540.4</v>
      </c>
      <c r="T94">
        <v>175.69632956000001</v>
      </c>
      <c r="W94">
        <v>175.69632956000001</v>
      </c>
      <c r="Y94">
        <v>1</v>
      </c>
      <c r="Z94" t="s">
        <v>1347</v>
      </c>
      <c r="AF94">
        <v>0</v>
      </c>
      <c r="AG94">
        <v>0</v>
      </c>
      <c r="AH94">
        <v>0</v>
      </c>
      <c r="AI94">
        <v>0</v>
      </c>
      <c r="AJ94">
        <v>0</v>
      </c>
      <c r="AL94">
        <v>0</v>
      </c>
      <c r="AO94" t="s">
        <v>92</v>
      </c>
      <c r="AP94" t="s">
        <v>93</v>
      </c>
      <c r="AQ94" t="s">
        <v>92</v>
      </c>
      <c r="AT94">
        <v>-1.3358000000000001</v>
      </c>
      <c r="AU94">
        <v>0</v>
      </c>
      <c r="AX94" t="s">
        <v>76</v>
      </c>
      <c r="AY94" s="24" t="s">
        <v>1348</v>
      </c>
      <c r="BA94" t="s">
        <v>1257</v>
      </c>
      <c r="BG94">
        <v>10</v>
      </c>
      <c r="BH94" t="s">
        <v>1245</v>
      </c>
      <c r="BI94" t="s">
        <v>1217</v>
      </c>
    </row>
    <row r="95" spans="1:61" x14ac:dyDescent="0.25">
      <c r="A95" t="s">
        <v>1349</v>
      </c>
      <c r="D95">
        <v>214777180</v>
      </c>
      <c r="E95" t="s">
        <v>1215</v>
      </c>
      <c r="G95" t="s">
        <v>1244</v>
      </c>
      <c r="H95">
        <v>91590</v>
      </c>
      <c r="I95" t="s">
        <v>1247</v>
      </c>
      <c r="J95" t="s">
        <v>1229</v>
      </c>
      <c r="M95" t="s">
        <v>1255</v>
      </c>
      <c r="R95" t="s">
        <v>77</v>
      </c>
      <c r="S95">
        <v>24177.18</v>
      </c>
      <c r="T95">
        <v>767.52977172156</v>
      </c>
      <c r="W95">
        <v>767.52977172156</v>
      </c>
      <c r="Y95">
        <v>1</v>
      </c>
      <c r="Z95" t="s">
        <v>1249</v>
      </c>
      <c r="AF95">
        <v>0</v>
      </c>
      <c r="AG95">
        <v>0</v>
      </c>
      <c r="AH95">
        <v>0</v>
      </c>
      <c r="AI95">
        <v>0</v>
      </c>
      <c r="AJ95">
        <v>0</v>
      </c>
      <c r="AL95">
        <v>0</v>
      </c>
      <c r="AO95" t="s">
        <v>92</v>
      </c>
      <c r="AP95" t="s">
        <v>93</v>
      </c>
      <c r="AQ95" t="s">
        <v>92</v>
      </c>
      <c r="AT95">
        <v>-6.6219000000000001</v>
      </c>
      <c r="AU95">
        <v>0</v>
      </c>
      <c r="AX95" t="s">
        <v>76</v>
      </c>
      <c r="AY95" s="24" t="s">
        <v>1350</v>
      </c>
      <c r="BA95" t="s">
        <v>1257</v>
      </c>
      <c r="BG95">
        <v>10</v>
      </c>
      <c r="BH95" t="s">
        <v>1245</v>
      </c>
      <c r="BI95" t="s">
        <v>1217</v>
      </c>
    </row>
    <row r="96" spans="1:61" x14ac:dyDescent="0.25">
      <c r="A96" t="s">
        <v>1656</v>
      </c>
      <c r="D96">
        <v>214777181</v>
      </c>
      <c r="E96" t="s">
        <v>1215</v>
      </c>
      <c r="G96" t="s">
        <v>1244</v>
      </c>
      <c r="H96">
        <v>91590</v>
      </c>
      <c r="I96" t="s">
        <v>1247</v>
      </c>
      <c r="J96" t="s">
        <v>1229</v>
      </c>
      <c r="M96" t="s">
        <v>1255</v>
      </c>
      <c r="R96" t="s">
        <v>74</v>
      </c>
      <c r="S96">
        <v>-237779.35</v>
      </c>
      <c r="T96">
        <v>-17720.395015793601</v>
      </c>
      <c r="W96">
        <v>-17720.395015793601</v>
      </c>
      <c r="Y96">
        <v>1</v>
      </c>
      <c r="Z96" t="s">
        <v>1351</v>
      </c>
      <c r="AF96">
        <v>0</v>
      </c>
      <c r="AG96">
        <v>0</v>
      </c>
      <c r="AH96">
        <v>0</v>
      </c>
      <c r="AI96">
        <v>0</v>
      </c>
      <c r="AJ96">
        <v>0</v>
      </c>
      <c r="AL96">
        <v>0</v>
      </c>
      <c r="AO96" t="s">
        <v>92</v>
      </c>
      <c r="AP96" t="s">
        <v>93</v>
      </c>
      <c r="AQ96" t="s">
        <v>92</v>
      </c>
      <c r="AT96">
        <v>-167.96039999999999</v>
      </c>
      <c r="AU96">
        <v>0</v>
      </c>
      <c r="AX96" t="s">
        <v>76</v>
      </c>
      <c r="AY96" s="24" t="s">
        <v>1352</v>
      </c>
      <c r="BA96" t="s">
        <v>1257</v>
      </c>
      <c r="BG96">
        <v>10</v>
      </c>
      <c r="BH96" t="s">
        <v>1245</v>
      </c>
      <c r="BI96" t="s">
        <v>1217</v>
      </c>
    </row>
    <row r="97" spans="1:61" x14ac:dyDescent="0.25">
      <c r="A97" t="s">
        <v>1353</v>
      </c>
      <c r="D97">
        <v>214777182</v>
      </c>
      <c r="E97" t="s">
        <v>1215</v>
      </c>
      <c r="G97" t="s">
        <v>1244</v>
      </c>
      <c r="H97">
        <v>91590</v>
      </c>
      <c r="I97" t="s">
        <v>1247</v>
      </c>
      <c r="J97" t="s">
        <v>1229</v>
      </c>
      <c r="M97" t="s">
        <v>1255</v>
      </c>
      <c r="R97" t="s">
        <v>77</v>
      </c>
      <c r="S97">
        <v>6786.53</v>
      </c>
      <c r="T97">
        <v>2069.3605497352601</v>
      </c>
      <c r="W97">
        <v>2069.3605497352601</v>
      </c>
      <c r="Y97">
        <v>1</v>
      </c>
      <c r="Z97" t="s">
        <v>1354</v>
      </c>
      <c r="AF97">
        <v>0</v>
      </c>
      <c r="AG97">
        <v>0</v>
      </c>
      <c r="AH97">
        <v>0</v>
      </c>
      <c r="AI97">
        <v>0</v>
      </c>
      <c r="AJ97">
        <v>0</v>
      </c>
      <c r="AL97">
        <v>0</v>
      </c>
      <c r="AO97" t="s">
        <v>92</v>
      </c>
      <c r="AP97" t="s">
        <v>93</v>
      </c>
      <c r="AQ97" t="s">
        <v>92</v>
      </c>
      <c r="AT97">
        <v>-16.3965</v>
      </c>
      <c r="AU97">
        <v>0</v>
      </c>
      <c r="AX97" t="s">
        <v>76</v>
      </c>
      <c r="AY97" s="24" t="s">
        <v>1355</v>
      </c>
      <c r="BA97" t="s">
        <v>1257</v>
      </c>
      <c r="BG97">
        <v>10</v>
      </c>
      <c r="BH97" t="s">
        <v>1245</v>
      </c>
      <c r="BI97" t="s">
        <v>1217</v>
      </c>
    </row>
    <row r="98" spans="1:61" x14ac:dyDescent="0.25">
      <c r="A98" t="s">
        <v>1356</v>
      </c>
      <c r="D98">
        <v>214777183</v>
      </c>
      <c r="E98" t="s">
        <v>1215</v>
      </c>
      <c r="G98" t="s">
        <v>1244</v>
      </c>
      <c r="H98">
        <v>91590</v>
      </c>
      <c r="I98" t="s">
        <v>1247</v>
      </c>
      <c r="J98" t="s">
        <v>1229</v>
      </c>
      <c r="M98" t="s">
        <v>1255</v>
      </c>
      <c r="R98" t="s">
        <v>77</v>
      </c>
      <c r="S98">
        <v>8639.57</v>
      </c>
      <c r="T98">
        <v>765.32565586018995</v>
      </c>
      <c r="W98">
        <v>765.32565586018995</v>
      </c>
      <c r="Y98">
        <v>1</v>
      </c>
      <c r="Z98" t="s">
        <v>1357</v>
      </c>
      <c r="AF98">
        <v>0</v>
      </c>
      <c r="AG98">
        <v>0</v>
      </c>
      <c r="AH98">
        <v>0</v>
      </c>
      <c r="AI98">
        <v>0</v>
      </c>
      <c r="AJ98">
        <v>0</v>
      </c>
      <c r="AL98">
        <v>0</v>
      </c>
      <c r="AO98" t="s">
        <v>92</v>
      </c>
      <c r="AP98" t="s">
        <v>93</v>
      </c>
      <c r="AQ98" t="s">
        <v>92</v>
      </c>
      <c r="AT98">
        <v>-12.369</v>
      </c>
      <c r="AU98">
        <v>0</v>
      </c>
      <c r="AX98" t="s">
        <v>76</v>
      </c>
      <c r="AY98" s="24" t="s">
        <v>1358</v>
      </c>
      <c r="BA98" t="s">
        <v>1257</v>
      </c>
      <c r="BG98">
        <v>10</v>
      </c>
      <c r="BH98" t="s">
        <v>1245</v>
      </c>
      <c r="BI98" t="s">
        <v>1217</v>
      </c>
    </row>
    <row r="99" spans="1:61" x14ac:dyDescent="0.25">
      <c r="A99" t="s">
        <v>1476</v>
      </c>
      <c r="D99">
        <v>214777184</v>
      </c>
      <c r="E99" t="s">
        <v>1215</v>
      </c>
      <c r="G99" t="s">
        <v>1244</v>
      </c>
      <c r="H99">
        <v>91590</v>
      </c>
      <c r="I99" t="s">
        <v>1247</v>
      </c>
      <c r="J99" t="s">
        <v>1229</v>
      </c>
      <c r="M99" t="s">
        <v>1255</v>
      </c>
      <c r="R99" t="s">
        <v>77</v>
      </c>
      <c r="S99">
        <v>134378.76</v>
      </c>
      <c r="T99">
        <v>20910.881352391301</v>
      </c>
      <c r="W99">
        <v>20910.881352391301</v>
      </c>
      <c r="Y99">
        <v>1</v>
      </c>
      <c r="Z99" t="s">
        <v>1248</v>
      </c>
      <c r="AF99">
        <v>0</v>
      </c>
      <c r="AG99">
        <v>0</v>
      </c>
      <c r="AH99">
        <v>0</v>
      </c>
      <c r="AI99">
        <v>0</v>
      </c>
      <c r="AJ99">
        <v>0</v>
      </c>
      <c r="AL99">
        <v>0</v>
      </c>
      <c r="AO99" t="s">
        <v>92</v>
      </c>
      <c r="AP99" t="s">
        <v>93</v>
      </c>
      <c r="AQ99" t="s">
        <v>92</v>
      </c>
      <c r="AT99">
        <v>-240.11869999999999</v>
      </c>
      <c r="AU99">
        <v>0</v>
      </c>
      <c r="AX99" t="s">
        <v>76</v>
      </c>
      <c r="AY99" s="24" t="s">
        <v>1359</v>
      </c>
      <c r="BA99" t="s">
        <v>1257</v>
      </c>
      <c r="BG99">
        <v>10</v>
      </c>
      <c r="BH99" t="s">
        <v>1245</v>
      </c>
      <c r="BI99" t="s">
        <v>1217</v>
      </c>
    </row>
    <row r="100" spans="1:61" x14ac:dyDescent="0.25">
      <c r="A100" t="s">
        <v>1657</v>
      </c>
      <c r="D100">
        <v>214777185</v>
      </c>
      <c r="E100" t="s">
        <v>1215</v>
      </c>
      <c r="G100" t="s">
        <v>1244</v>
      </c>
      <c r="H100">
        <v>91590</v>
      </c>
      <c r="I100" t="s">
        <v>1247</v>
      </c>
      <c r="J100" t="s">
        <v>1229</v>
      </c>
      <c r="M100" t="s">
        <v>1255</v>
      </c>
      <c r="R100" t="s">
        <v>77</v>
      </c>
      <c r="S100">
        <v>17478.11</v>
      </c>
      <c r="T100">
        <v>13624.938303729999</v>
      </c>
      <c r="W100">
        <v>13624.938303729999</v>
      </c>
      <c r="Y100">
        <v>1</v>
      </c>
      <c r="Z100" t="s">
        <v>1360</v>
      </c>
      <c r="AF100">
        <v>0</v>
      </c>
      <c r="AG100">
        <v>0</v>
      </c>
      <c r="AH100">
        <v>0</v>
      </c>
      <c r="AI100">
        <v>0</v>
      </c>
      <c r="AJ100">
        <v>0</v>
      </c>
      <c r="AL100">
        <v>0</v>
      </c>
      <c r="AO100" t="s">
        <v>92</v>
      </c>
      <c r="AP100" t="s">
        <v>93</v>
      </c>
      <c r="AQ100" t="s">
        <v>92</v>
      </c>
      <c r="AT100">
        <v>-176.1636</v>
      </c>
      <c r="AU100">
        <v>0</v>
      </c>
      <c r="AX100" t="s">
        <v>76</v>
      </c>
      <c r="AY100" s="24" t="s">
        <v>1361</v>
      </c>
      <c r="BA100" t="s">
        <v>1257</v>
      </c>
      <c r="BG100">
        <v>10</v>
      </c>
      <c r="BH100" t="s">
        <v>1245</v>
      </c>
      <c r="BI100" t="s">
        <v>1217</v>
      </c>
    </row>
    <row r="101" spans="1:61" x14ac:dyDescent="0.25">
      <c r="A101" t="s">
        <v>1362</v>
      </c>
      <c r="D101">
        <v>214777186</v>
      </c>
      <c r="E101" t="s">
        <v>1215</v>
      </c>
      <c r="G101" t="s">
        <v>1244</v>
      </c>
      <c r="H101">
        <v>91590</v>
      </c>
      <c r="I101" t="s">
        <v>1247</v>
      </c>
      <c r="J101" t="s">
        <v>1229</v>
      </c>
      <c r="M101" t="s">
        <v>1255</v>
      </c>
      <c r="R101" t="s">
        <v>77</v>
      </c>
      <c r="S101">
        <v>7740.46</v>
      </c>
      <c r="T101">
        <v>2677.8039166314802</v>
      </c>
      <c r="W101">
        <v>2677.8039166314802</v>
      </c>
      <c r="Y101">
        <v>1</v>
      </c>
      <c r="Z101" t="s">
        <v>1363</v>
      </c>
      <c r="AF101">
        <v>0</v>
      </c>
      <c r="AG101">
        <v>0</v>
      </c>
      <c r="AH101">
        <v>0</v>
      </c>
      <c r="AI101">
        <v>0</v>
      </c>
      <c r="AJ101">
        <v>0</v>
      </c>
      <c r="AL101">
        <v>0</v>
      </c>
      <c r="AO101" t="s">
        <v>92</v>
      </c>
      <c r="AP101" t="s">
        <v>93</v>
      </c>
      <c r="AQ101" t="s">
        <v>92</v>
      </c>
      <c r="AT101">
        <v>-13.857900000000001</v>
      </c>
      <c r="AU101">
        <v>0</v>
      </c>
      <c r="AX101" t="s">
        <v>76</v>
      </c>
      <c r="AY101" s="24" t="s">
        <v>1364</v>
      </c>
      <c r="BA101" t="s">
        <v>1257</v>
      </c>
      <c r="BG101">
        <v>10</v>
      </c>
      <c r="BH101" t="s">
        <v>1245</v>
      </c>
      <c r="BI101" t="s">
        <v>1217</v>
      </c>
    </row>
    <row r="102" spans="1:61" x14ac:dyDescent="0.25">
      <c r="A102" t="s">
        <v>1365</v>
      </c>
      <c r="D102">
        <v>214777187</v>
      </c>
      <c r="E102" t="s">
        <v>1215</v>
      </c>
      <c r="G102" t="s">
        <v>1244</v>
      </c>
      <c r="H102">
        <v>91590</v>
      </c>
      <c r="I102" t="s">
        <v>1247</v>
      </c>
      <c r="J102" t="s">
        <v>1229</v>
      </c>
      <c r="M102" t="s">
        <v>1255</v>
      </c>
      <c r="R102" t="s">
        <v>77</v>
      </c>
      <c r="S102">
        <v>3585.01</v>
      </c>
      <c r="T102">
        <v>79.753856849810006</v>
      </c>
      <c r="W102">
        <v>79.753856849810006</v>
      </c>
      <c r="Y102">
        <v>1</v>
      </c>
      <c r="Z102" t="s">
        <v>1366</v>
      </c>
      <c r="AF102">
        <v>0</v>
      </c>
      <c r="AG102">
        <v>0</v>
      </c>
      <c r="AH102">
        <v>0</v>
      </c>
      <c r="AI102">
        <v>0</v>
      </c>
      <c r="AJ102">
        <v>0</v>
      </c>
      <c r="AL102">
        <v>0</v>
      </c>
      <c r="AO102" t="s">
        <v>92</v>
      </c>
      <c r="AP102" t="s">
        <v>93</v>
      </c>
      <c r="AQ102" t="s">
        <v>92</v>
      </c>
      <c r="AT102">
        <v>-0.58479999999999999</v>
      </c>
      <c r="AU102">
        <v>0</v>
      </c>
      <c r="AX102" t="s">
        <v>76</v>
      </c>
      <c r="AY102" s="24" t="s">
        <v>1367</v>
      </c>
      <c r="BA102" t="s">
        <v>1257</v>
      </c>
      <c r="BG102">
        <v>10</v>
      </c>
      <c r="BH102" t="s">
        <v>1245</v>
      </c>
      <c r="BI102" t="s">
        <v>1217</v>
      </c>
    </row>
    <row r="103" spans="1:61" x14ac:dyDescent="0.25">
      <c r="A103" t="s">
        <v>1368</v>
      </c>
      <c r="D103">
        <v>214777188</v>
      </c>
      <c r="E103" t="s">
        <v>1215</v>
      </c>
      <c r="G103" t="s">
        <v>1244</v>
      </c>
      <c r="H103">
        <v>91590</v>
      </c>
      <c r="I103" t="s">
        <v>1247</v>
      </c>
      <c r="J103" t="s">
        <v>1229</v>
      </c>
      <c r="M103" t="s">
        <v>1255</v>
      </c>
      <c r="R103" t="s">
        <v>77</v>
      </c>
      <c r="S103">
        <v>5849.54</v>
      </c>
      <c r="T103">
        <v>1767.5049617744</v>
      </c>
      <c r="W103">
        <v>1767.5049617744</v>
      </c>
      <c r="Y103">
        <v>1</v>
      </c>
      <c r="Z103" t="s">
        <v>1369</v>
      </c>
      <c r="AF103">
        <v>0</v>
      </c>
      <c r="AG103">
        <v>0</v>
      </c>
      <c r="AH103">
        <v>0</v>
      </c>
      <c r="AI103">
        <v>0</v>
      </c>
      <c r="AJ103">
        <v>0</v>
      </c>
      <c r="AL103">
        <v>0</v>
      </c>
      <c r="AO103" t="s">
        <v>92</v>
      </c>
      <c r="AP103" t="s">
        <v>93</v>
      </c>
      <c r="AQ103" t="s">
        <v>92</v>
      </c>
      <c r="AT103">
        <v>-20.257999999999999</v>
      </c>
      <c r="AU103">
        <v>0</v>
      </c>
      <c r="AX103" t="s">
        <v>76</v>
      </c>
      <c r="AY103" s="24" t="s">
        <v>1370</v>
      </c>
      <c r="BA103" t="s">
        <v>1257</v>
      </c>
      <c r="BG103">
        <v>10</v>
      </c>
      <c r="BH103" t="s">
        <v>1245</v>
      </c>
      <c r="BI103" t="s">
        <v>1217</v>
      </c>
    </row>
    <row r="104" spans="1:61" x14ac:dyDescent="0.25">
      <c r="A104" t="s">
        <v>1371</v>
      </c>
      <c r="D104">
        <v>214777189</v>
      </c>
      <c r="E104" t="s">
        <v>1215</v>
      </c>
      <c r="G104" t="s">
        <v>1244</v>
      </c>
      <c r="H104">
        <v>91590</v>
      </c>
      <c r="I104" t="s">
        <v>1247</v>
      </c>
      <c r="J104" t="s">
        <v>1229</v>
      </c>
      <c r="M104" t="s">
        <v>1255</v>
      </c>
      <c r="R104" t="s">
        <v>77</v>
      </c>
      <c r="S104">
        <v>4362.24</v>
      </c>
      <c r="T104">
        <v>1250.360083968</v>
      </c>
      <c r="W104">
        <v>1250.360083968</v>
      </c>
      <c r="Y104">
        <v>1</v>
      </c>
      <c r="Z104" t="s">
        <v>1372</v>
      </c>
      <c r="AF104">
        <v>0</v>
      </c>
      <c r="AG104">
        <v>0</v>
      </c>
      <c r="AH104">
        <v>0</v>
      </c>
      <c r="AI104">
        <v>0</v>
      </c>
      <c r="AJ104">
        <v>0</v>
      </c>
      <c r="AL104">
        <v>0</v>
      </c>
      <c r="AO104" t="s">
        <v>92</v>
      </c>
      <c r="AP104" t="s">
        <v>93</v>
      </c>
      <c r="AQ104" t="s">
        <v>92</v>
      </c>
      <c r="AT104">
        <v>-11.8689</v>
      </c>
      <c r="AU104">
        <v>0</v>
      </c>
      <c r="AX104" t="s">
        <v>76</v>
      </c>
      <c r="AY104" s="24" t="s">
        <v>1373</v>
      </c>
      <c r="BA104" t="s">
        <v>1257</v>
      </c>
      <c r="BG104">
        <v>10</v>
      </c>
      <c r="BH104" t="s">
        <v>1245</v>
      </c>
      <c r="BI104" t="s">
        <v>1217</v>
      </c>
    </row>
    <row r="105" spans="1:61" x14ac:dyDescent="0.25">
      <c r="A105" t="s">
        <v>1374</v>
      </c>
      <c r="D105">
        <v>214777190</v>
      </c>
      <c r="E105" t="s">
        <v>1215</v>
      </c>
      <c r="G105" t="s">
        <v>1244</v>
      </c>
      <c r="H105">
        <v>91590</v>
      </c>
      <c r="I105" t="s">
        <v>1247</v>
      </c>
      <c r="J105" t="s">
        <v>1229</v>
      </c>
      <c r="M105" t="s">
        <v>1255</v>
      </c>
      <c r="R105" t="s">
        <v>77</v>
      </c>
      <c r="S105">
        <v>836183.68</v>
      </c>
      <c r="T105">
        <v>21134.352698304599</v>
      </c>
      <c r="W105">
        <v>21134.352698304599</v>
      </c>
      <c r="Y105">
        <v>1</v>
      </c>
      <c r="Z105" t="s">
        <v>1375</v>
      </c>
      <c r="AF105">
        <v>0</v>
      </c>
      <c r="AG105">
        <v>0</v>
      </c>
      <c r="AH105">
        <v>0</v>
      </c>
      <c r="AI105">
        <v>0</v>
      </c>
      <c r="AJ105">
        <v>0</v>
      </c>
      <c r="AL105">
        <v>0</v>
      </c>
      <c r="AO105" t="s">
        <v>92</v>
      </c>
      <c r="AP105" t="s">
        <v>93</v>
      </c>
      <c r="AQ105" t="s">
        <v>92</v>
      </c>
      <c r="AT105">
        <v>-298.53179999999998</v>
      </c>
      <c r="AU105">
        <v>0</v>
      </c>
      <c r="AX105" t="s">
        <v>76</v>
      </c>
      <c r="AY105" s="24" t="s">
        <v>1376</v>
      </c>
      <c r="BA105" t="s">
        <v>1257</v>
      </c>
      <c r="BG105">
        <v>10</v>
      </c>
      <c r="BH105" t="s">
        <v>1245</v>
      </c>
      <c r="BI105" t="s">
        <v>1217</v>
      </c>
    </row>
    <row r="106" spans="1:61" x14ac:dyDescent="0.25">
      <c r="A106" t="s">
        <v>1477</v>
      </c>
      <c r="D106">
        <v>214777191</v>
      </c>
      <c r="E106" t="s">
        <v>1215</v>
      </c>
      <c r="G106" t="s">
        <v>1244</v>
      </c>
      <c r="H106">
        <v>91590</v>
      </c>
      <c r="I106" t="s">
        <v>1247</v>
      </c>
      <c r="J106" t="s">
        <v>1229</v>
      </c>
      <c r="M106" t="s">
        <v>1255</v>
      </c>
      <c r="R106" t="s">
        <v>74</v>
      </c>
      <c r="S106">
        <v>-108704.14</v>
      </c>
      <c r="T106">
        <v>-15067.622269486101</v>
      </c>
      <c r="W106">
        <v>-15067.622269486101</v>
      </c>
      <c r="Y106">
        <v>1</v>
      </c>
      <c r="Z106" t="s">
        <v>86</v>
      </c>
      <c r="AF106">
        <v>0</v>
      </c>
      <c r="AG106">
        <v>0</v>
      </c>
      <c r="AH106">
        <v>0</v>
      </c>
      <c r="AI106">
        <v>0</v>
      </c>
      <c r="AJ106">
        <v>0</v>
      </c>
      <c r="AL106">
        <v>0</v>
      </c>
      <c r="AO106" t="s">
        <v>92</v>
      </c>
      <c r="AP106" t="s">
        <v>93</v>
      </c>
      <c r="AQ106" t="s">
        <v>92</v>
      </c>
      <c r="AT106">
        <v>-175.9083</v>
      </c>
      <c r="AU106">
        <v>0</v>
      </c>
      <c r="AX106" t="s">
        <v>76</v>
      </c>
      <c r="AY106" s="24" t="s">
        <v>1377</v>
      </c>
      <c r="BA106" t="s">
        <v>1257</v>
      </c>
      <c r="BG106">
        <v>10</v>
      </c>
      <c r="BH106" t="s">
        <v>1245</v>
      </c>
      <c r="BI106" t="s">
        <v>1217</v>
      </c>
    </row>
    <row r="107" spans="1:61" x14ac:dyDescent="0.25">
      <c r="A107" t="s">
        <v>1478</v>
      </c>
      <c r="D107">
        <v>214777192</v>
      </c>
      <c r="E107" t="s">
        <v>1215</v>
      </c>
      <c r="G107" t="s">
        <v>1244</v>
      </c>
      <c r="H107">
        <v>91590</v>
      </c>
      <c r="I107" t="s">
        <v>1247</v>
      </c>
      <c r="J107" t="s">
        <v>1229</v>
      </c>
      <c r="M107" t="s">
        <v>1255</v>
      </c>
      <c r="R107" t="s">
        <v>74</v>
      </c>
      <c r="S107">
        <v>-2857.81</v>
      </c>
      <c r="T107">
        <v>-2240.1054139356502</v>
      </c>
      <c r="W107">
        <v>-2240.1054139356502</v>
      </c>
      <c r="Y107">
        <v>1</v>
      </c>
      <c r="Z107" t="s">
        <v>1378</v>
      </c>
      <c r="AF107">
        <v>0</v>
      </c>
      <c r="AG107">
        <v>0</v>
      </c>
      <c r="AH107">
        <v>0</v>
      </c>
      <c r="AI107">
        <v>0</v>
      </c>
      <c r="AJ107">
        <v>0</v>
      </c>
      <c r="AL107">
        <v>0</v>
      </c>
      <c r="AO107" t="s">
        <v>92</v>
      </c>
      <c r="AP107" t="s">
        <v>93</v>
      </c>
      <c r="AQ107" t="s">
        <v>92</v>
      </c>
      <c r="AT107">
        <v>-11.652200000000001</v>
      </c>
      <c r="AU107">
        <v>0</v>
      </c>
      <c r="AX107" t="s">
        <v>76</v>
      </c>
      <c r="AY107" s="24" t="s">
        <v>1379</v>
      </c>
      <c r="BA107" t="s">
        <v>1257</v>
      </c>
      <c r="BG107">
        <v>10</v>
      </c>
      <c r="BH107" t="s">
        <v>1245</v>
      </c>
      <c r="BI107" t="s">
        <v>1217</v>
      </c>
    </row>
    <row r="108" spans="1:61" x14ac:dyDescent="0.25">
      <c r="A108" t="s">
        <v>1658</v>
      </c>
      <c r="D108">
        <v>214777193</v>
      </c>
      <c r="E108" t="s">
        <v>1215</v>
      </c>
      <c r="G108" t="s">
        <v>1244</v>
      </c>
      <c r="H108">
        <v>91590</v>
      </c>
      <c r="I108" t="s">
        <v>1247</v>
      </c>
      <c r="J108" t="s">
        <v>1229</v>
      </c>
      <c r="M108" t="s">
        <v>1255</v>
      </c>
      <c r="R108" t="s">
        <v>77</v>
      </c>
      <c r="S108">
        <v>1006654.45</v>
      </c>
      <c r="T108">
        <v>31043.233082152299</v>
      </c>
      <c r="W108">
        <v>31043.233082152299</v>
      </c>
      <c r="Y108">
        <v>1</v>
      </c>
      <c r="Z108" t="s">
        <v>1380</v>
      </c>
      <c r="AF108">
        <v>0</v>
      </c>
      <c r="AG108">
        <v>0</v>
      </c>
      <c r="AH108">
        <v>0</v>
      </c>
      <c r="AI108">
        <v>0</v>
      </c>
      <c r="AJ108">
        <v>0</v>
      </c>
      <c r="AL108">
        <v>0</v>
      </c>
      <c r="AO108" t="s">
        <v>92</v>
      </c>
      <c r="AP108" t="s">
        <v>93</v>
      </c>
      <c r="AQ108" t="s">
        <v>92</v>
      </c>
      <c r="AT108">
        <v>-206.8554</v>
      </c>
      <c r="AU108">
        <v>0</v>
      </c>
      <c r="AX108" t="s">
        <v>76</v>
      </c>
      <c r="AY108" s="24" t="s">
        <v>1381</v>
      </c>
      <c r="BA108" t="s">
        <v>1257</v>
      </c>
      <c r="BG108">
        <v>10</v>
      </c>
      <c r="BH108" t="s">
        <v>1245</v>
      </c>
      <c r="BI108" t="s">
        <v>1217</v>
      </c>
    </row>
    <row r="109" spans="1:61" x14ac:dyDescent="0.25">
      <c r="A109" t="s">
        <v>1382</v>
      </c>
      <c r="D109">
        <v>214777194</v>
      </c>
      <c r="E109" t="s">
        <v>1215</v>
      </c>
      <c r="G109" t="s">
        <v>1244</v>
      </c>
      <c r="H109">
        <v>91590</v>
      </c>
      <c r="I109" t="s">
        <v>1247</v>
      </c>
      <c r="J109" t="s">
        <v>1229</v>
      </c>
      <c r="M109" t="s">
        <v>1255</v>
      </c>
      <c r="R109" t="s">
        <v>77</v>
      </c>
      <c r="S109">
        <v>30160.13</v>
      </c>
      <c r="T109">
        <v>13242.068283954501</v>
      </c>
      <c r="W109">
        <v>13242.068283954501</v>
      </c>
      <c r="Y109">
        <v>1</v>
      </c>
      <c r="Z109" t="s">
        <v>1383</v>
      </c>
      <c r="AF109">
        <v>0</v>
      </c>
      <c r="AG109">
        <v>0</v>
      </c>
      <c r="AH109">
        <v>0</v>
      </c>
      <c r="AI109">
        <v>0</v>
      </c>
      <c r="AJ109">
        <v>0</v>
      </c>
      <c r="AL109">
        <v>0</v>
      </c>
      <c r="AO109" t="s">
        <v>92</v>
      </c>
      <c r="AP109" t="s">
        <v>93</v>
      </c>
      <c r="AQ109" t="s">
        <v>92</v>
      </c>
      <c r="AT109">
        <v>-199.0523</v>
      </c>
      <c r="AU109">
        <v>0</v>
      </c>
      <c r="AX109" t="s">
        <v>76</v>
      </c>
      <c r="AY109" s="24" t="s">
        <v>1384</v>
      </c>
      <c r="BA109" t="s">
        <v>1257</v>
      </c>
      <c r="BG109">
        <v>10</v>
      </c>
      <c r="BH109" t="s">
        <v>1245</v>
      </c>
      <c r="BI109" t="s">
        <v>1217</v>
      </c>
    </row>
    <row r="110" spans="1:61" x14ac:dyDescent="0.25">
      <c r="A110" t="s">
        <v>1461</v>
      </c>
      <c r="D110">
        <v>214777195</v>
      </c>
      <c r="E110" t="s">
        <v>1215</v>
      </c>
      <c r="G110" t="s">
        <v>1244</v>
      </c>
      <c r="H110">
        <v>91590</v>
      </c>
      <c r="I110" t="s">
        <v>1247</v>
      </c>
      <c r="J110" t="s">
        <v>1229</v>
      </c>
      <c r="M110" t="s">
        <v>1255</v>
      </c>
      <c r="R110" t="s">
        <v>77</v>
      </c>
      <c r="S110">
        <v>9.4600000000000009</v>
      </c>
      <c r="T110">
        <v>0.31075779306000001</v>
      </c>
      <c r="W110">
        <v>0.31075779306000001</v>
      </c>
      <c r="Y110">
        <v>1</v>
      </c>
      <c r="Z110" t="s">
        <v>1385</v>
      </c>
      <c r="AF110">
        <v>0</v>
      </c>
      <c r="AG110">
        <v>0</v>
      </c>
      <c r="AH110">
        <v>0</v>
      </c>
      <c r="AI110">
        <v>0</v>
      </c>
      <c r="AJ110">
        <v>0</v>
      </c>
      <c r="AL110">
        <v>0</v>
      </c>
      <c r="AO110" t="s">
        <v>92</v>
      </c>
      <c r="AP110" t="s">
        <v>93</v>
      </c>
      <c r="AQ110" t="s">
        <v>92</v>
      </c>
      <c r="AT110">
        <v>-1.1999999999999999E-3</v>
      </c>
      <c r="AU110">
        <v>0</v>
      </c>
      <c r="AX110" t="s">
        <v>76</v>
      </c>
      <c r="AY110" s="24" t="s">
        <v>1386</v>
      </c>
      <c r="BA110" t="s">
        <v>1257</v>
      </c>
      <c r="BG110">
        <v>10</v>
      </c>
      <c r="BH110" t="s">
        <v>1245</v>
      </c>
      <c r="BI110" t="s">
        <v>1217</v>
      </c>
    </row>
    <row r="111" spans="1:61" x14ac:dyDescent="0.25">
      <c r="A111" t="s">
        <v>1659</v>
      </c>
      <c r="D111">
        <v>214777196</v>
      </c>
      <c r="E111" t="s">
        <v>1215</v>
      </c>
      <c r="G111" t="s">
        <v>1244</v>
      </c>
      <c r="H111">
        <v>91590</v>
      </c>
      <c r="I111" t="s">
        <v>1247</v>
      </c>
      <c r="J111" t="s">
        <v>1229</v>
      </c>
      <c r="M111" t="s">
        <v>1255</v>
      </c>
      <c r="R111" t="s">
        <v>74</v>
      </c>
      <c r="S111">
        <v>-205326.01</v>
      </c>
      <c r="T111">
        <v>-205326.01</v>
      </c>
      <c r="W111">
        <v>-205326.01</v>
      </c>
      <c r="Y111">
        <v>1</v>
      </c>
      <c r="Z111" t="s">
        <v>75</v>
      </c>
      <c r="AF111">
        <v>0</v>
      </c>
      <c r="AG111">
        <v>0</v>
      </c>
      <c r="AH111">
        <v>0</v>
      </c>
      <c r="AI111">
        <v>0</v>
      </c>
      <c r="AJ111">
        <v>0</v>
      </c>
      <c r="AL111">
        <v>0</v>
      </c>
      <c r="AO111" t="s">
        <v>92</v>
      </c>
      <c r="AP111" t="s">
        <v>93</v>
      </c>
      <c r="AQ111" t="s">
        <v>92</v>
      </c>
      <c r="AT111">
        <v>0</v>
      </c>
      <c r="AU111">
        <v>0</v>
      </c>
      <c r="AX111" t="s">
        <v>76</v>
      </c>
      <c r="AY111" s="24" t="s">
        <v>1256</v>
      </c>
      <c r="BA111" t="s">
        <v>1257</v>
      </c>
      <c r="BG111">
        <v>10</v>
      </c>
      <c r="BH111" t="s">
        <v>1245</v>
      </c>
      <c r="BI111" t="s">
        <v>1217</v>
      </c>
    </row>
    <row r="112" spans="1:61" x14ac:dyDescent="0.25">
      <c r="A112" t="s">
        <v>1387</v>
      </c>
      <c r="D112">
        <v>214777197</v>
      </c>
      <c r="E112" t="s">
        <v>1215</v>
      </c>
      <c r="G112" t="s">
        <v>1244</v>
      </c>
      <c r="H112">
        <v>91590</v>
      </c>
      <c r="I112" t="s">
        <v>1247</v>
      </c>
      <c r="J112" t="s">
        <v>1229</v>
      </c>
      <c r="M112" t="s">
        <v>1255</v>
      </c>
      <c r="R112" t="s">
        <v>77</v>
      </c>
      <c r="S112">
        <v>32471.65</v>
      </c>
      <c r="T112">
        <v>5160.7015075641502</v>
      </c>
      <c r="W112">
        <v>5160.7015075641502</v>
      </c>
      <c r="Y112">
        <v>1</v>
      </c>
      <c r="Z112" t="s">
        <v>1388</v>
      </c>
      <c r="AF112">
        <v>0</v>
      </c>
      <c r="AG112">
        <v>0</v>
      </c>
      <c r="AH112">
        <v>0</v>
      </c>
      <c r="AI112">
        <v>0</v>
      </c>
      <c r="AJ112">
        <v>0</v>
      </c>
      <c r="AL112">
        <v>0</v>
      </c>
      <c r="AO112" t="s">
        <v>92</v>
      </c>
      <c r="AP112" t="s">
        <v>93</v>
      </c>
      <c r="AQ112" t="s">
        <v>92</v>
      </c>
      <c r="AT112">
        <v>-33.895499999999998</v>
      </c>
      <c r="AU112">
        <v>0</v>
      </c>
      <c r="AX112" t="s">
        <v>76</v>
      </c>
      <c r="AY112" s="24" t="s">
        <v>1389</v>
      </c>
      <c r="BA112" t="s">
        <v>1257</v>
      </c>
      <c r="BG112">
        <v>10</v>
      </c>
      <c r="BH112" t="s">
        <v>1245</v>
      </c>
      <c r="BI112" t="s">
        <v>1217</v>
      </c>
    </row>
    <row r="113" spans="1:61" x14ac:dyDescent="0.25">
      <c r="A113" t="s">
        <v>1660</v>
      </c>
      <c r="D113">
        <v>214777198</v>
      </c>
      <c r="E113" t="s">
        <v>1215</v>
      </c>
      <c r="G113" t="s">
        <v>1244</v>
      </c>
      <c r="H113">
        <v>91590</v>
      </c>
      <c r="I113" t="s">
        <v>1247</v>
      </c>
      <c r="J113" t="s">
        <v>1229</v>
      </c>
      <c r="M113" t="s">
        <v>1255</v>
      </c>
      <c r="R113" t="s">
        <v>77</v>
      </c>
      <c r="S113">
        <v>5653.77</v>
      </c>
      <c r="T113">
        <v>500.95871918648999</v>
      </c>
      <c r="W113">
        <v>500.95871918648999</v>
      </c>
      <c r="Y113">
        <v>1</v>
      </c>
      <c r="Z113" t="s">
        <v>1390</v>
      </c>
      <c r="AF113">
        <v>0</v>
      </c>
      <c r="AG113">
        <v>0</v>
      </c>
      <c r="AH113">
        <v>0</v>
      </c>
      <c r="AI113">
        <v>0</v>
      </c>
      <c r="AJ113">
        <v>0</v>
      </c>
      <c r="AL113">
        <v>0</v>
      </c>
      <c r="AO113" t="s">
        <v>92</v>
      </c>
      <c r="AP113" t="s">
        <v>93</v>
      </c>
      <c r="AQ113" t="s">
        <v>92</v>
      </c>
      <c r="AT113">
        <v>-7.9001000000000001</v>
      </c>
      <c r="AU113">
        <v>0</v>
      </c>
      <c r="AX113" t="s">
        <v>76</v>
      </c>
      <c r="AY113" s="24" t="s">
        <v>1391</v>
      </c>
      <c r="BA113" t="s">
        <v>1257</v>
      </c>
      <c r="BG113">
        <v>10</v>
      </c>
      <c r="BH113" t="s">
        <v>1245</v>
      </c>
      <c r="BI113" t="s">
        <v>1217</v>
      </c>
    </row>
    <row r="114" spans="1:61" x14ac:dyDescent="0.25">
      <c r="A114" t="s">
        <v>1392</v>
      </c>
      <c r="D114">
        <v>214777199</v>
      </c>
      <c r="E114" t="s">
        <v>1215</v>
      </c>
      <c r="G114" t="s">
        <v>1244</v>
      </c>
      <c r="H114">
        <v>91590</v>
      </c>
      <c r="I114" t="s">
        <v>1247</v>
      </c>
      <c r="J114" t="s">
        <v>1229</v>
      </c>
      <c r="M114" t="s">
        <v>1255</v>
      </c>
      <c r="R114" t="s">
        <v>77</v>
      </c>
      <c r="S114">
        <v>7073.12</v>
      </c>
      <c r="T114">
        <v>1126.29299511728</v>
      </c>
      <c r="W114">
        <v>1126.29299511728</v>
      </c>
      <c r="Y114">
        <v>1</v>
      </c>
      <c r="Z114" t="s">
        <v>1393</v>
      </c>
      <c r="AF114">
        <v>0</v>
      </c>
      <c r="AG114">
        <v>0</v>
      </c>
      <c r="AH114">
        <v>0</v>
      </c>
      <c r="AI114">
        <v>0</v>
      </c>
      <c r="AJ114">
        <v>0</v>
      </c>
      <c r="AL114">
        <v>0</v>
      </c>
      <c r="AO114" t="s">
        <v>92</v>
      </c>
      <c r="AP114" t="s">
        <v>93</v>
      </c>
      <c r="AQ114" t="s">
        <v>92</v>
      </c>
      <c r="AT114">
        <v>-20.017499999999998</v>
      </c>
      <c r="AU114">
        <v>0</v>
      </c>
      <c r="AX114" t="s">
        <v>76</v>
      </c>
      <c r="AY114" s="24" t="s">
        <v>1394</v>
      </c>
      <c r="BA114" t="s">
        <v>1257</v>
      </c>
      <c r="BG114">
        <v>10</v>
      </c>
      <c r="BH114" t="s">
        <v>1245</v>
      </c>
      <c r="BI114" t="s">
        <v>1217</v>
      </c>
    </row>
    <row r="115" spans="1:61" x14ac:dyDescent="0.25">
      <c r="A115" t="s">
        <v>1395</v>
      </c>
      <c r="D115">
        <v>214777200</v>
      </c>
      <c r="E115" t="s">
        <v>1215</v>
      </c>
      <c r="G115" t="s">
        <v>1244</v>
      </c>
      <c r="H115">
        <v>91590</v>
      </c>
      <c r="I115" t="s">
        <v>1247</v>
      </c>
      <c r="J115" t="s">
        <v>1229</v>
      </c>
      <c r="M115" t="s">
        <v>1255</v>
      </c>
      <c r="R115" t="s">
        <v>74</v>
      </c>
      <c r="S115">
        <v>0</v>
      </c>
      <c r="T115">
        <v>0</v>
      </c>
      <c r="W115">
        <v>0</v>
      </c>
      <c r="Y115">
        <v>1</v>
      </c>
      <c r="Z115" t="s">
        <v>1276</v>
      </c>
      <c r="AF115">
        <v>0</v>
      </c>
      <c r="AG115">
        <v>0</v>
      </c>
      <c r="AH115">
        <v>0</v>
      </c>
      <c r="AI115">
        <v>0</v>
      </c>
      <c r="AJ115">
        <v>0</v>
      </c>
      <c r="AL115">
        <v>0</v>
      </c>
      <c r="AO115" t="s">
        <v>92</v>
      </c>
      <c r="AP115" t="s">
        <v>93</v>
      </c>
      <c r="AQ115" t="s">
        <v>92</v>
      </c>
      <c r="AT115">
        <v>0</v>
      </c>
      <c r="AU115">
        <v>0</v>
      </c>
      <c r="AX115" t="s">
        <v>76</v>
      </c>
      <c r="AY115" s="24" t="s">
        <v>1277</v>
      </c>
      <c r="BA115" t="s">
        <v>1257</v>
      </c>
      <c r="BG115">
        <v>10</v>
      </c>
      <c r="BH115" t="s">
        <v>1245</v>
      </c>
      <c r="BI115" t="s">
        <v>1217</v>
      </c>
    </row>
    <row r="116" spans="1:61" x14ac:dyDescent="0.25">
      <c r="A116" t="s">
        <v>1396</v>
      </c>
      <c r="D116">
        <v>214777201</v>
      </c>
      <c r="E116" t="s">
        <v>1215</v>
      </c>
      <c r="G116" t="s">
        <v>1244</v>
      </c>
      <c r="H116">
        <v>91590</v>
      </c>
      <c r="I116" t="s">
        <v>1247</v>
      </c>
      <c r="J116" t="s">
        <v>1229</v>
      </c>
      <c r="M116" t="s">
        <v>1255</v>
      </c>
      <c r="R116" t="s">
        <v>74</v>
      </c>
      <c r="S116">
        <v>0</v>
      </c>
      <c r="T116">
        <v>0</v>
      </c>
      <c r="W116">
        <v>0</v>
      </c>
      <c r="Y116">
        <v>1</v>
      </c>
      <c r="Z116" t="s">
        <v>1278</v>
      </c>
      <c r="AF116">
        <v>0</v>
      </c>
      <c r="AG116">
        <v>0</v>
      </c>
      <c r="AH116">
        <v>0</v>
      </c>
      <c r="AI116">
        <v>0</v>
      </c>
      <c r="AJ116">
        <v>0</v>
      </c>
      <c r="AL116">
        <v>0</v>
      </c>
      <c r="AO116" t="s">
        <v>92</v>
      </c>
      <c r="AP116" t="s">
        <v>93</v>
      </c>
      <c r="AQ116" t="s">
        <v>92</v>
      </c>
      <c r="AT116">
        <v>0</v>
      </c>
      <c r="AU116">
        <v>0</v>
      </c>
      <c r="AX116" t="s">
        <v>76</v>
      </c>
      <c r="AY116" s="24" t="s">
        <v>1279</v>
      </c>
      <c r="BA116" t="s">
        <v>1257</v>
      </c>
      <c r="BG116">
        <v>10</v>
      </c>
      <c r="BH116" t="s">
        <v>1245</v>
      </c>
      <c r="BI116" t="s">
        <v>1217</v>
      </c>
    </row>
    <row r="117" spans="1:61" x14ac:dyDescent="0.25">
      <c r="A117" t="s">
        <v>1397</v>
      </c>
      <c r="D117">
        <v>214777202</v>
      </c>
      <c r="E117" t="s">
        <v>1215</v>
      </c>
      <c r="G117" t="s">
        <v>1244</v>
      </c>
      <c r="H117">
        <v>91590</v>
      </c>
      <c r="I117" t="s">
        <v>1247</v>
      </c>
      <c r="J117" t="s">
        <v>1229</v>
      </c>
      <c r="M117" t="s">
        <v>1255</v>
      </c>
      <c r="R117" t="s">
        <v>74</v>
      </c>
      <c r="S117">
        <v>0</v>
      </c>
      <c r="T117">
        <v>0</v>
      </c>
      <c r="W117">
        <v>0</v>
      </c>
      <c r="Y117">
        <v>1</v>
      </c>
      <c r="Z117" t="s">
        <v>1303</v>
      </c>
      <c r="AF117">
        <v>0</v>
      </c>
      <c r="AG117">
        <v>0</v>
      </c>
      <c r="AH117">
        <v>0</v>
      </c>
      <c r="AI117">
        <v>0</v>
      </c>
      <c r="AJ117">
        <v>0</v>
      </c>
      <c r="AL117">
        <v>0</v>
      </c>
      <c r="AO117" t="s">
        <v>92</v>
      </c>
      <c r="AP117" t="s">
        <v>93</v>
      </c>
      <c r="AQ117" t="s">
        <v>92</v>
      </c>
      <c r="AT117">
        <v>0</v>
      </c>
      <c r="AU117">
        <v>0</v>
      </c>
      <c r="AX117" t="s">
        <v>76</v>
      </c>
      <c r="AY117" s="24" t="s">
        <v>1304</v>
      </c>
      <c r="BA117" t="s">
        <v>1257</v>
      </c>
      <c r="BG117">
        <v>10</v>
      </c>
      <c r="BH117" t="s">
        <v>1245</v>
      </c>
      <c r="BI117" t="s">
        <v>1217</v>
      </c>
    </row>
    <row r="118" spans="1:61" x14ac:dyDescent="0.25">
      <c r="A118" t="s">
        <v>1398</v>
      </c>
      <c r="D118">
        <v>214777203</v>
      </c>
      <c r="E118" t="s">
        <v>1215</v>
      </c>
      <c r="G118" t="s">
        <v>1244</v>
      </c>
      <c r="H118">
        <v>91590</v>
      </c>
      <c r="I118" t="s">
        <v>1254</v>
      </c>
      <c r="J118" t="s">
        <v>1229</v>
      </c>
      <c r="M118" t="s">
        <v>1255</v>
      </c>
      <c r="R118" t="s">
        <v>74</v>
      </c>
      <c r="S118">
        <v>0</v>
      </c>
      <c r="T118">
        <v>0</v>
      </c>
      <c r="W118">
        <v>0</v>
      </c>
      <c r="Y118">
        <v>1</v>
      </c>
      <c r="Z118" t="s">
        <v>1272</v>
      </c>
      <c r="AF118">
        <v>0</v>
      </c>
      <c r="AG118">
        <v>0</v>
      </c>
      <c r="AH118">
        <v>0</v>
      </c>
      <c r="AI118">
        <v>0</v>
      </c>
      <c r="AJ118">
        <v>0</v>
      </c>
      <c r="AL118">
        <v>0</v>
      </c>
      <c r="AO118" t="s">
        <v>92</v>
      </c>
      <c r="AP118" t="s">
        <v>93</v>
      </c>
      <c r="AQ118" t="s">
        <v>92</v>
      </c>
      <c r="AT118">
        <v>0</v>
      </c>
      <c r="AU118">
        <v>0</v>
      </c>
      <c r="AX118" t="s">
        <v>76</v>
      </c>
      <c r="AY118" s="24" t="s">
        <v>1273</v>
      </c>
      <c r="BA118" t="s">
        <v>1257</v>
      </c>
      <c r="BG118">
        <v>10</v>
      </c>
      <c r="BH118" t="s">
        <v>1245</v>
      </c>
      <c r="BI118" t="s">
        <v>1217</v>
      </c>
    </row>
    <row r="119" spans="1:61" x14ac:dyDescent="0.25">
      <c r="A119" t="s">
        <v>1399</v>
      </c>
      <c r="D119">
        <v>214777204</v>
      </c>
      <c r="E119" t="s">
        <v>1215</v>
      </c>
      <c r="G119" t="s">
        <v>1244</v>
      </c>
      <c r="H119">
        <v>91590</v>
      </c>
      <c r="I119" t="s">
        <v>1247</v>
      </c>
      <c r="J119" t="s">
        <v>1229</v>
      </c>
      <c r="M119" t="s">
        <v>1255</v>
      </c>
      <c r="R119" t="s">
        <v>74</v>
      </c>
      <c r="S119">
        <v>0</v>
      </c>
      <c r="T119">
        <v>0</v>
      </c>
      <c r="W119">
        <v>0</v>
      </c>
      <c r="Y119">
        <v>1</v>
      </c>
      <c r="Z119" t="s">
        <v>1319</v>
      </c>
      <c r="AF119">
        <v>0</v>
      </c>
      <c r="AG119">
        <v>0</v>
      </c>
      <c r="AH119">
        <v>0</v>
      </c>
      <c r="AI119">
        <v>0</v>
      </c>
      <c r="AJ119">
        <v>0</v>
      </c>
      <c r="AL119">
        <v>0</v>
      </c>
      <c r="AO119" t="s">
        <v>92</v>
      </c>
      <c r="AP119" t="s">
        <v>93</v>
      </c>
      <c r="AQ119" t="s">
        <v>92</v>
      </c>
      <c r="AT119">
        <v>0</v>
      </c>
      <c r="AU119">
        <v>0</v>
      </c>
      <c r="AX119" t="s">
        <v>76</v>
      </c>
      <c r="AY119" s="24" t="s">
        <v>1320</v>
      </c>
      <c r="BA119" t="s">
        <v>1257</v>
      </c>
      <c r="BG119">
        <v>10</v>
      </c>
      <c r="BH119" t="s">
        <v>1245</v>
      </c>
      <c r="BI119" t="s">
        <v>1217</v>
      </c>
    </row>
    <row r="120" spans="1:61" x14ac:dyDescent="0.25">
      <c r="A120" t="s">
        <v>1400</v>
      </c>
      <c r="D120">
        <v>214777205</v>
      </c>
      <c r="E120" t="s">
        <v>1215</v>
      </c>
      <c r="G120" t="s">
        <v>1244</v>
      </c>
      <c r="H120">
        <v>91590</v>
      </c>
      <c r="I120" t="s">
        <v>1247</v>
      </c>
      <c r="J120" t="s">
        <v>1229</v>
      </c>
      <c r="M120" t="s">
        <v>1255</v>
      </c>
      <c r="R120" t="s">
        <v>74</v>
      </c>
      <c r="S120">
        <v>0</v>
      </c>
      <c r="T120">
        <v>0</v>
      </c>
      <c r="W120">
        <v>0</v>
      </c>
      <c r="Y120">
        <v>1</v>
      </c>
      <c r="Z120" t="s">
        <v>1321</v>
      </c>
      <c r="AF120">
        <v>0</v>
      </c>
      <c r="AG120">
        <v>0</v>
      </c>
      <c r="AH120">
        <v>0</v>
      </c>
      <c r="AI120">
        <v>0</v>
      </c>
      <c r="AJ120">
        <v>0</v>
      </c>
      <c r="AL120">
        <v>0</v>
      </c>
      <c r="AO120" t="s">
        <v>92</v>
      </c>
      <c r="AP120" t="s">
        <v>93</v>
      </c>
      <c r="AQ120" t="s">
        <v>92</v>
      </c>
      <c r="AT120">
        <v>0</v>
      </c>
      <c r="AU120">
        <v>0</v>
      </c>
      <c r="AX120" t="s">
        <v>76</v>
      </c>
      <c r="AY120" s="24" t="s">
        <v>1322</v>
      </c>
      <c r="BA120" t="s">
        <v>1257</v>
      </c>
      <c r="BG120">
        <v>10</v>
      </c>
      <c r="BH120" t="s">
        <v>1245</v>
      </c>
      <c r="BI120" t="s">
        <v>1217</v>
      </c>
    </row>
    <row r="121" spans="1:61" x14ac:dyDescent="0.25">
      <c r="A121" t="s">
        <v>1401</v>
      </c>
      <c r="D121">
        <v>214777206</v>
      </c>
      <c r="E121" t="s">
        <v>1215</v>
      </c>
      <c r="G121" t="s">
        <v>1244</v>
      </c>
      <c r="H121">
        <v>91590</v>
      </c>
      <c r="I121" t="s">
        <v>1247</v>
      </c>
      <c r="J121" t="s">
        <v>1229</v>
      </c>
      <c r="M121" t="s">
        <v>1255</v>
      </c>
      <c r="R121" t="s">
        <v>74</v>
      </c>
      <c r="S121">
        <v>0</v>
      </c>
      <c r="T121">
        <v>0</v>
      </c>
      <c r="W121">
        <v>0</v>
      </c>
      <c r="Y121">
        <v>1</v>
      </c>
      <c r="Z121" t="s">
        <v>1351</v>
      </c>
      <c r="AF121">
        <v>0</v>
      </c>
      <c r="AG121">
        <v>0</v>
      </c>
      <c r="AH121">
        <v>0</v>
      </c>
      <c r="AI121">
        <v>0</v>
      </c>
      <c r="AJ121">
        <v>0</v>
      </c>
      <c r="AL121">
        <v>0</v>
      </c>
      <c r="AO121" t="s">
        <v>92</v>
      </c>
      <c r="AP121" t="s">
        <v>93</v>
      </c>
      <c r="AQ121" t="s">
        <v>92</v>
      </c>
      <c r="AT121">
        <v>0</v>
      </c>
      <c r="AU121">
        <v>0</v>
      </c>
      <c r="AX121" t="s">
        <v>76</v>
      </c>
      <c r="AY121" s="24" t="s">
        <v>1352</v>
      </c>
      <c r="BA121" t="s">
        <v>1257</v>
      </c>
      <c r="BG121">
        <v>10</v>
      </c>
      <c r="BH121" t="s">
        <v>1245</v>
      </c>
      <c r="BI121" t="s">
        <v>1217</v>
      </c>
    </row>
    <row r="122" spans="1:61" x14ac:dyDescent="0.25">
      <c r="A122" t="s">
        <v>1402</v>
      </c>
      <c r="D122">
        <v>214777207</v>
      </c>
      <c r="E122" t="s">
        <v>1215</v>
      </c>
      <c r="G122" t="s">
        <v>1244</v>
      </c>
      <c r="H122">
        <v>91590</v>
      </c>
      <c r="I122" t="s">
        <v>1247</v>
      </c>
      <c r="J122" t="s">
        <v>1229</v>
      </c>
      <c r="M122" t="s">
        <v>1255</v>
      </c>
      <c r="R122" t="s">
        <v>74</v>
      </c>
      <c r="S122">
        <v>0</v>
      </c>
      <c r="T122">
        <v>0</v>
      </c>
      <c r="W122">
        <v>0</v>
      </c>
      <c r="Y122">
        <v>1</v>
      </c>
      <c r="Z122" t="s">
        <v>1248</v>
      </c>
      <c r="AF122">
        <v>0</v>
      </c>
      <c r="AG122">
        <v>0</v>
      </c>
      <c r="AH122">
        <v>0</v>
      </c>
      <c r="AI122">
        <v>0</v>
      </c>
      <c r="AJ122">
        <v>0</v>
      </c>
      <c r="AL122">
        <v>0</v>
      </c>
      <c r="AO122" t="s">
        <v>92</v>
      </c>
      <c r="AP122" t="s">
        <v>93</v>
      </c>
      <c r="AQ122" t="s">
        <v>92</v>
      </c>
      <c r="AT122">
        <v>0</v>
      </c>
      <c r="AU122">
        <v>0</v>
      </c>
      <c r="AX122" t="s">
        <v>76</v>
      </c>
      <c r="AY122" s="24" t="s">
        <v>1359</v>
      </c>
      <c r="BA122" t="s">
        <v>1257</v>
      </c>
      <c r="BG122">
        <v>10</v>
      </c>
      <c r="BH122" t="s">
        <v>1245</v>
      </c>
      <c r="BI122" t="s">
        <v>1217</v>
      </c>
    </row>
    <row r="123" spans="1:61" x14ac:dyDescent="0.25">
      <c r="A123" t="s">
        <v>1403</v>
      </c>
      <c r="D123">
        <v>214777208</v>
      </c>
      <c r="E123" t="s">
        <v>1215</v>
      </c>
      <c r="G123" t="s">
        <v>1244</v>
      </c>
      <c r="H123">
        <v>91590</v>
      </c>
      <c r="I123" t="s">
        <v>1247</v>
      </c>
      <c r="J123" t="s">
        <v>1229</v>
      </c>
      <c r="M123" t="s">
        <v>1255</v>
      </c>
      <c r="R123" t="s">
        <v>74</v>
      </c>
      <c r="S123">
        <v>0</v>
      </c>
      <c r="T123">
        <v>0</v>
      </c>
      <c r="W123">
        <v>0</v>
      </c>
      <c r="Y123">
        <v>1</v>
      </c>
      <c r="Z123" t="s">
        <v>1378</v>
      </c>
      <c r="AF123">
        <v>0</v>
      </c>
      <c r="AG123">
        <v>0</v>
      </c>
      <c r="AH123">
        <v>0</v>
      </c>
      <c r="AI123">
        <v>0</v>
      </c>
      <c r="AJ123">
        <v>0</v>
      </c>
      <c r="AL123">
        <v>0</v>
      </c>
      <c r="AO123" t="s">
        <v>92</v>
      </c>
      <c r="AP123" t="s">
        <v>93</v>
      </c>
      <c r="AQ123" t="s">
        <v>92</v>
      </c>
      <c r="AT123">
        <v>0</v>
      </c>
      <c r="AU123">
        <v>0</v>
      </c>
      <c r="AX123" t="s">
        <v>76</v>
      </c>
      <c r="AY123" s="24" t="s">
        <v>1379</v>
      </c>
      <c r="BA123" t="s">
        <v>1257</v>
      </c>
      <c r="BG123">
        <v>10</v>
      </c>
      <c r="BH123" t="s">
        <v>1245</v>
      </c>
      <c r="BI123" t="s">
        <v>1217</v>
      </c>
    </row>
    <row r="124" spans="1:61" x14ac:dyDescent="0.25">
      <c r="A124" t="s">
        <v>1409</v>
      </c>
      <c r="D124">
        <v>214777209</v>
      </c>
      <c r="E124" t="s">
        <v>1215</v>
      </c>
      <c r="G124" t="s">
        <v>1244</v>
      </c>
      <c r="H124">
        <v>91590</v>
      </c>
      <c r="I124" t="s">
        <v>1247</v>
      </c>
      <c r="J124" t="s">
        <v>1229</v>
      </c>
      <c r="M124" t="s">
        <v>1255</v>
      </c>
      <c r="R124" t="s">
        <v>74</v>
      </c>
      <c r="S124">
        <v>0</v>
      </c>
      <c r="T124">
        <v>0</v>
      </c>
      <c r="W124">
        <v>0</v>
      </c>
      <c r="Y124">
        <v>1</v>
      </c>
      <c r="Z124" t="s">
        <v>75</v>
      </c>
      <c r="AF124">
        <v>0</v>
      </c>
      <c r="AG124">
        <v>0</v>
      </c>
      <c r="AH124">
        <v>0</v>
      </c>
      <c r="AI124">
        <v>0</v>
      </c>
      <c r="AJ124">
        <v>0</v>
      </c>
      <c r="AL124">
        <v>0</v>
      </c>
      <c r="AO124" t="s">
        <v>92</v>
      </c>
      <c r="AP124" t="s">
        <v>93</v>
      </c>
      <c r="AQ124" t="s">
        <v>92</v>
      </c>
      <c r="AT124">
        <v>0</v>
      </c>
      <c r="AU124">
        <v>0</v>
      </c>
      <c r="AX124" t="s">
        <v>76</v>
      </c>
      <c r="AY124" s="24" t="s">
        <v>1256</v>
      </c>
      <c r="BA124" t="s">
        <v>1257</v>
      </c>
      <c r="BG124">
        <v>10</v>
      </c>
      <c r="BH124" t="s">
        <v>1245</v>
      </c>
      <c r="BI124" t="s">
        <v>1217</v>
      </c>
    </row>
    <row r="125" spans="1:61" x14ac:dyDescent="0.25">
      <c r="A125" t="s">
        <v>1661</v>
      </c>
      <c r="D125">
        <v>214777210</v>
      </c>
      <c r="E125" t="s">
        <v>1215</v>
      </c>
      <c r="G125" t="s">
        <v>1244</v>
      </c>
      <c r="H125">
        <v>91590</v>
      </c>
      <c r="I125" t="s">
        <v>1247</v>
      </c>
      <c r="J125" t="s">
        <v>1229</v>
      </c>
      <c r="M125" t="s">
        <v>1255</v>
      </c>
      <c r="R125" t="s">
        <v>77</v>
      </c>
      <c r="S125">
        <v>28080</v>
      </c>
      <c r="T125">
        <v>22010.616529200001</v>
      </c>
      <c r="W125">
        <v>22010.616529200001</v>
      </c>
      <c r="Y125">
        <v>1</v>
      </c>
      <c r="Z125" t="s">
        <v>1378</v>
      </c>
      <c r="AF125">
        <v>0</v>
      </c>
      <c r="AG125">
        <v>0</v>
      </c>
      <c r="AH125">
        <v>0</v>
      </c>
      <c r="AI125">
        <v>0</v>
      </c>
      <c r="AJ125">
        <v>0</v>
      </c>
      <c r="AL125">
        <v>0</v>
      </c>
      <c r="AO125" t="s">
        <v>92</v>
      </c>
      <c r="AP125" t="s">
        <v>93</v>
      </c>
      <c r="AQ125" t="s">
        <v>92</v>
      </c>
      <c r="AT125">
        <v>-107.3647</v>
      </c>
      <c r="AU125">
        <v>0</v>
      </c>
      <c r="AX125" t="s">
        <v>76</v>
      </c>
      <c r="AY125" s="24" t="s">
        <v>1379</v>
      </c>
      <c r="BA125" t="s">
        <v>1257</v>
      </c>
      <c r="BG125">
        <v>10</v>
      </c>
      <c r="BH125" t="s">
        <v>1245</v>
      </c>
      <c r="BI125" t="s">
        <v>1217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J43"/>
  <sheetViews>
    <sheetView workbookViewId="0"/>
  </sheetViews>
  <sheetFormatPr defaultRowHeight="15" x14ac:dyDescent="0.25"/>
  <cols>
    <col min="1" max="1" width="39.5703125" bestFit="1" customWidth="1"/>
    <col min="2" max="2" width="8.85546875" bestFit="1" customWidth="1"/>
    <col min="3" max="3" width="10.140625" bestFit="1" customWidth="1"/>
    <col min="4" max="4" width="10.28515625" bestFit="1" customWidth="1"/>
    <col min="5" max="5" width="8.7109375" bestFit="1" customWidth="1"/>
    <col min="6" max="6" width="7" bestFit="1" customWidth="1"/>
    <col min="7" max="7" width="13.42578125" bestFit="1" customWidth="1"/>
    <col min="8" max="8" width="6" bestFit="1" customWidth="1"/>
    <col min="9" max="9" width="10.140625" bestFit="1" customWidth="1"/>
    <col min="10" max="10" width="31.28515625" bestFit="1" customWidth="1"/>
    <col min="11" max="11" width="32" bestFit="1" customWidth="1"/>
    <col min="12" max="12" width="23.5703125" bestFit="1" customWidth="1"/>
    <col min="13" max="13" width="9.7109375" bestFit="1" customWidth="1"/>
    <col min="14" max="14" width="13.140625" bestFit="1" customWidth="1"/>
    <col min="15" max="15" width="12.28515625" bestFit="1" customWidth="1"/>
    <col min="16" max="16" width="8.5703125" bestFit="1" customWidth="1"/>
    <col min="17" max="17" width="12.5703125" bestFit="1" customWidth="1"/>
    <col min="18" max="18" width="8.42578125" bestFit="1" customWidth="1"/>
    <col min="19" max="19" width="11.85546875" bestFit="1" customWidth="1"/>
    <col min="20" max="20" width="12.42578125" bestFit="1" customWidth="1"/>
    <col min="21" max="21" width="8.7109375" bestFit="1" customWidth="1"/>
    <col min="22" max="22" width="12" bestFit="1" customWidth="1"/>
    <col min="23" max="23" width="11.7109375" bestFit="1" customWidth="1"/>
    <col min="24" max="24" width="11.42578125" bestFit="1" customWidth="1"/>
    <col min="25" max="25" width="9" bestFit="1" customWidth="1"/>
    <col min="26" max="26" width="9.85546875" bestFit="1" customWidth="1"/>
    <col min="27" max="27" width="8.7109375" bestFit="1" customWidth="1"/>
    <col min="28" max="28" width="9.85546875" bestFit="1" customWidth="1"/>
    <col min="29" max="29" width="8.7109375" bestFit="1" customWidth="1"/>
    <col min="30" max="30" width="11.140625" bestFit="1" customWidth="1"/>
    <col min="31" max="31" width="16" bestFit="1" customWidth="1"/>
    <col min="32" max="32" width="12" bestFit="1" customWidth="1"/>
    <col min="33" max="33" width="12.7109375" bestFit="1" customWidth="1"/>
    <col min="34" max="34" width="8.140625" bestFit="1" customWidth="1"/>
    <col min="35" max="35" width="10.85546875" bestFit="1" customWidth="1"/>
    <col min="36" max="36" width="12.7109375" bestFit="1" customWidth="1"/>
    <col min="37" max="37" width="11" bestFit="1" customWidth="1"/>
    <col min="38" max="38" width="13.7109375" bestFit="1" customWidth="1"/>
    <col min="39" max="39" width="12.7109375" bestFit="1" customWidth="1"/>
    <col min="40" max="40" width="10.85546875" bestFit="1" customWidth="1"/>
    <col min="41" max="41" width="22.140625" bestFit="1" customWidth="1"/>
    <col min="42" max="42" width="11.7109375" bestFit="1" customWidth="1"/>
    <col min="43" max="43" width="30.7109375" bestFit="1" customWidth="1"/>
    <col min="44" max="44" width="14.5703125" bestFit="1" customWidth="1"/>
    <col min="45" max="45" width="10.5703125" bestFit="1" customWidth="1"/>
    <col min="46" max="46" width="10.7109375" bestFit="1" customWidth="1"/>
    <col min="47" max="47" width="8.7109375" bestFit="1" customWidth="1"/>
    <col min="48" max="48" width="12.7109375" bestFit="1" customWidth="1"/>
    <col min="49" max="49" width="12.42578125" bestFit="1" customWidth="1"/>
    <col min="50" max="50" width="17.28515625" bestFit="1" customWidth="1"/>
    <col min="51" max="51" width="9.7109375" bestFit="1" customWidth="1"/>
    <col min="52" max="52" width="6" bestFit="1" customWidth="1"/>
    <col min="53" max="53" width="61.5703125" bestFit="1" customWidth="1"/>
    <col min="54" max="54" width="14.85546875" bestFit="1" customWidth="1"/>
    <col min="55" max="55" width="14.42578125" bestFit="1" customWidth="1"/>
    <col min="56" max="56" width="5" bestFit="1" customWidth="1"/>
    <col min="57" max="57" width="13.5703125" bestFit="1" customWidth="1"/>
    <col min="58" max="58" width="11.28515625" bestFit="1" customWidth="1"/>
    <col min="59" max="59" width="26.5703125" bestFit="1" customWidth="1"/>
    <col min="60" max="60" width="26.7109375" bestFit="1" customWidth="1"/>
    <col min="61" max="61" width="32.28515625" bestFit="1" customWidth="1"/>
    <col min="62" max="62" width="32.42578125" bestFit="1" customWidth="1"/>
    <col min="63" max="63" width="14.7109375" bestFit="1" customWidth="1"/>
    <col min="64" max="64" width="10.28515625" bestFit="1" customWidth="1"/>
    <col min="65" max="65" width="12.5703125" bestFit="1" customWidth="1"/>
    <col min="66" max="66" width="18" bestFit="1" customWidth="1"/>
    <col min="67" max="67" width="18.85546875" bestFit="1" customWidth="1"/>
    <col min="68" max="68" width="16" bestFit="1" customWidth="1"/>
    <col min="69" max="69" width="18.85546875" bestFit="1" customWidth="1"/>
    <col min="79" max="79" width="12.5703125" bestFit="1" customWidth="1"/>
    <col min="80" max="80" width="22.5703125" bestFit="1" customWidth="1"/>
    <col min="81" max="81" width="18.5703125" bestFit="1" customWidth="1"/>
    <col min="82" max="85" width="22.5703125" bestFit="1" customWidth="1"/>
    <col min="86" max="86" width="24" bestFit="1" customWidth="1"/>
    <col min="87" max="91" width="22.5703125" bestFit="1" customWidth="1"/>
    <col min="92" max="92" width="24.85546875" bestFit="1" customWidth="1"/>
    <col min="93" max="98" width="22.5703125" bestFit="1" customWidth="1"/>
    <col min="99" max="114" width="19.85546875" bestFit="1" customWidth="1"/>
  </cols>
  <sheetData>
    <row r="1" spans="1:114" s="52" customFormat="1" x14ac:dyDescent="0.25">
      <c r="CY1" s="52" t="s">
        <v>1177</v>
      </c>
      <c r="CZ1" s="52" t="s">
        <v>1178</v>
      </c>
      <c r="DA1" s="52" t="s">
        <v>1179</v>
      </c>
      <c r="DB1" s="52" t="s">
        <v>1180</v>
      </c>
      <c r="DC1" s="52" t="s">
        <v>1181</v>
      </c>
      <c r="DD1" s="52" t="s">
        <v>1182</v>
      </c>
      <c r="DE1" s="52" t="s">
        <v>1183</v>
      </c>
      <c r="DF1" s="52" t="s">
        <v>1184</v>
      </c>
      <c r="DG1" s="52" t="s">
        <v>1185</v>
      </c>
      <c r="DH1" s="52" t="s">
        <v>1186</v>
      </c>
      <c r="DI1" s="52" t="s">
        <v>1187</v>
      </c>
      <c r="DJ1" s="52" t="s">
        <v>1188</v>
      </c>
    </row>
    <row r="2" spans="1:114" s="52" customFormat="1" x14ac:dyDescent="0.25">
      <c r="CY2" s="4">
        <v>41912</v>
      </c>
      <c r="CZ2" s="4">
        <v>41880</v>
      </c>
      <c r="DA2" s="4">
        <v>41851</v>
      </c>
      <c r="DB2" s="4">
        <v>41820</v>
      </c>
      <c r="DC2" s="4">
        <v>41789</v>
      </c>
      <c r="DD2" s="4">
        <v>41759</v>
      </c>
      <c r="DE2" s="4">
        <v>41729</v>
      </c>
      <c r="DF2" s="4">
        <v>41698</v>
      </c>
      <c r="DG2" s="4">
        <v>41670</v>
      </c>
      <c r="DH2" s="4">
        <v>41639</v>
      </c>
      <c r="DI2" s="4">
        <v>41607</v>
      </c>
      <c r="DJ2" s="4">
        <v>41578</v>
      </c>
    </row>
    <row r="3" spans="1:114" x14ac:dyDescent="0.25">
      <c r="A3" t="s">
        <v>4</v>
      </c>
      <c r="B3" t="s">
        <v>5</v>
      </c>
      <c r="C3" t="s">
        <v>6</v>
      </c>
      <c r="D3" t="s">
        <v>7</v>
      </c>
      <c r="E3" t="s">
        <v>8</v>
      </c>
      <c r="F3" t="s">
        <v>9</v>
      </c>
      <c r="G3" t="s">
        <v>10</v>
      </c>
      <c r="H3" t="s">
        <v>11</v>
      </c>
      <c r="I3" t="s">
        <v>12</v>
      </c>
      <c r="J3" t="s">
        <v>13</v>
      </c>
      <c r="K3" t="s">
        <v>14</v>
      </c>
      <c r="L3" t="s">
        <v>15</v>
      </c>
      <c r="M3" t="s">
        <v>16</v>
      </c>
      <c r="N3" t="s">
        <v>17</v>
      </c>
      <c r="O3" t="s">
        <v>18</v>
      </c>
      <c r="P3" t="s">
        <v>19</v>
      </c>
      <c r="Q3" t="s">
        <v>20</v>
      </c>
      <c r="R3" t="s">
        <v>21</v>
      </c>
      <c r="S3" t="s">
        <v>22</v>
      </c>
      <c r="T3" t="s">
        <v>23</v>
      </c>
      <c r="U3" t="s">
        <v>24</v>
      </c>
      <c r="V3" t="s">
        <v>25</v>
      </c>
      <c r="W3" t="s">
        <v>26</v>
      </c>
      <c r="X3" t="s">
        <v>27</v>
      </c>
      <c r="Y3" t="s">
        <v>28</v>
      </c>
      <c r="Z3" t="s">
        <v>29</v>
      </c>
      <c r="AA3" t="s">
        <v>30</v>
      </c>
      <c r="AB3" t="s">
        <v>31</v>
      </c>
      <c r="AC3" t="s">
        <v>32</v>
      </c>
      <c r="AD3" t="s">
        <v>33</v>
      </c>
      <c r="AE3" t="s">
        <v>34</v>
      </c>
      <c r="AF3" t="s">
        <v>35</v>
      </c>
      <c r="AG3" t="s">
        <v>36</v>
      </c>
      <c r="AH3" t="s">
        <v>37</v>
      </c>
      <c r="AI3" t="s">
        <v>38</v>
      </c>
      <c r="AJ3" t="s">
        <v>39</v>
      </c>
      <c r="AK3" t="s">
        <v>40</v>
      </c>
      <c r="AL3" t="s">
        <v>41</v>
      </c>
      <c r="AM3" t="s">
        <v>42</v>
      </c>
      <c r="AN3" t="s">
        <v>43</v>
      </c>
      <c r="AO3" t="s">
        <v>44</v>
      </c>
      <c r="AP3" t="s">
        <v>45</v>
      </c>
      <c r="AQ3" t="s">
        <v>46</v>
      </c>
      <c r="AR3" t="s">
        <v>47</v>
      </c>
      <c r="AS3" t="s">
        <v>48</v>
      </c>
      <c r="AT3" t="s">
        <v>49</v>
      </c>
      <c r="AU3" t="s">
        <v>50</v>
      </c>
      <c r="AV3" t="s">
        <v>51</v>
      </c>
      <c r="AW3" t="s">
        <v>52</v>
      </c>
      <c r="AX3" t="s">
        <v>53</v>
      </c>
      <c r="AY3" t="s">
        <v>54</v>
      </c>
      <c r="AZ3" t="s">
        <v>55</v>
      </c>
      <c r="BA3" t="s">
        <v>56</v>
      </c>
      <c r="BB3" t="s">
        <v>57</v>
      </c>
      <c r="BC3" t="s">
        <v>58</v>
      </c>
      <c r="BD3" t="s">
        <v>59</v>
      </c>
      <c r="BE3" t="s">
        <v>60</v>
      </c>
      <c r="BF3" t="s">
        <v>61</v>
      </c>
      <c r="BG3" t="s">
        <v>62</v>
      </c>
      <c r="BH3" t="s">
        <v>63</v>
      </c>
      <c r="BI3" t="s">
        <v>64</v>
      </c>
      <c r="BJ3" t="s">
        <v>65</v>
      </c>
      <c r="BK3" t="s">
        <v>66</v>
      </c>
      <c r="BL3" t="s">
        <v>67</v>
      </c>
      <c r="BM3" t="s">
        <v>68</v>
      </c>
      <c r="BN3" t="s">
        <v>69</v>
      </c>
      <c r="BO3" t="s">
        <v>70</v>
      </c>
      <c r="BP3" t="s">
        <v>71</v>
      </c>
      <c r="BQ3" t="s">
        <v>72</v>
      </c>
      <c r="CA3" t="s">
        <v>1153</v>
      </c>
      <c r="CB3" t="s">
        <v>1175</v>
      </c>
      <c r="CC3" t="s">
        <v>1176</v>
      </c>
      <c r="CD3" t="s">
        <v>1154</v>
      </c>
      <c r="CE3" t="s">
        <v>1155</v>
      </c>
      <c r="CF3" t="s">
        <v>1156</v>
      </c>
      <c r="CG3" t="s">
        <v>1189</v>
      </c>
      <c r="CH3" t="s">
        <v>1157</v>
      </c>
      <c r="CI3" t="s">
        <v>1158</v>
      </c>
      <c r="CJ3" t="s">
        <v>1159</v>
      </c>
      <c r="CK3" t="s">
        <v>1160</v>
      </c>
      <c r="CL3" t="s">
        <v>1161</v>
      </c>
      <c r="CM3" t="s">
        <v>1162</v>
      </c>
      <c r="CN3" t="s">
        <v>1163</v>
      </c>
      <c r="CO3" t="s">
        <v>1164</v>
      </c>
      <c r="CP3" t="s">
        <v>1165</v>
      </c>
      <c r="CQ3" t="s">
        <v>1166</v>
      </c>
      <c r="CR3" t="s">
        <v>1167</v>
      </c>
      <c r="CS3" t="s">
        <v>1168</v>
      </c>
      <c r="CT3" t="s">
        <v>1169</v>
      </c>
      <c r="CU3" t="s">
        <v>1170</v>
      </c>
      <c r="CV3" t="s">
        <v>1171</v>
      </c>
      <c r="CW3" t="s">
        <v>1202</v>
      </c>
      <c r="CX3" t="s">
        <v>1172</v>
      </c>
      <c r="CY3" t="s">
        <v>1173</v>
      </c>
      <c r="CZ3" t="s">
        <v>1173</v>
      </c>
      <c r="DA3" t="s">
        <v>1173</v>
      </c>
      <c r="DB3" t="s">
        <v>1173</v>
      </c>
      <c r="DC3" t="s">
        <v>1173</v>
      </c>
      <c r="DD3" t="s">
        <v>1173</v>
      </c>
      <c r="DE3" t="s">
        <v>1173</v>
      </c>
      <c r="DF3" t="s">
        <v>1173</v>
      </c>
      <c r="DG3" t="s">
        <v>1173</v>
      </c>
      <c r="DH3" t="s">
        <v>1173</v>
      </c>
      <c r="DI3" t="s">
        <v>1173</v>
      </c>
      <c r="DJ3" t="s">
        <v>1173</v>
      </c>
    </row>
    <row r="4" spans="1:114" x14ac:dyDescent="0.25">
      <c r="A4" t="s">
        <v>1484</v>
      </c>
      <c r="D4">
        <v>214777102</v>
      </c>
      <c r="E4" t="s">
        <v>1215</v>
      </c>
      <c r="G4" t="s">
        <v>1251</v>
      </c>
      <c r="H4">
        <v>91017</v>
      </c>
      <c r="I4" t="s">
        <v>1254</v>
      </c>
      <c r="J4" t="s">
        <v>1252</v>
      </c>
      <c r="K4" t="s">
        <v>1404</v>
      </c>
      <c r="L4" t="s">
        <v>1463</v>
      </c>
      <c r="M4" t="s">
        <v>1250</v>
      </c>
      <c r="O4">
        <v>42835</v>
      </c>
      <c r="P4">
        <v>42835</v>
      </c>
      <c r="R4" t="s">
        <v>74</v>
      </c>
      <c r="S4">
        <v>-25000</v>
      </c>
      <c r="T4">
        <v>-25000</v>
      </c>
      <c r="W4">
        <v>-24901.25</v>
      </c>
      <c r="Y4">
        <v>1</v>
      </c>
      <c r="Z4" t="s">
        <v>75</v>
      </c>
      <c r="AE4" t="s">
        <v>165</v>
      </c>
      <c r="AF4">
        <v>6.2480992271011901</v>
      </c>
      <c r="AG4">
        <v>-6.2496741161994596</v>
      </c>
      <c r="AH4">
        <v>0</v>
      </c>
      <c r="AI4">
        <v>0</v>
      </c>
      <c r="AJ4">
        <v>-0.159155209399614</v>
      </c>
      <c r="AK4">
        <v>100</v>
      </c>
      <c r="AL4" t="s">
        <v>1485</v>
      </c>
      <c r="AO4" t="s">
        <v>92</v>
      </c>
      <c r="AP4" t="s">
        <v>93</v>
      </c>
      <c r="AQ4" t="s">
        <v>1486</v>
      </c>
      <c r="AT4">
        <v>-61.178600000000003</v>
      </c>
      <c r="AU4">
        <v>75</v>
      </c>
      <c r="AX4" t="s">
        <v>76</v>
      </c>
      <c r="AY4" t="s">
        <v>1487</v>
      </c>
      <c r="BA4" t="s">
        <v>1253</v>
      </c>
      <c r="BG4">
        <v>500</v>
      </c>
      <c r="BH4">
        <v>505</v>
      </c>
      <c r="BI4" t="s">
        <v>1252</v>
      </c>
      <c r="BJ4" t="s">
        <v>1404</v>
      </c>
      <c r="BK4">
        <v>1</v>
      </c>
      <c r="CA4" t="s">
        <v>1410</v>
      </c>
      <c r="CB4" t="s">
        <v>1174</v>
      </c>
      <c r="CC4" t="s">
        <v>1174</v>
      </c>
      <c r="CD4" t="e">
        <f ca="1">_xll.BDP($AY4&amp;" "&amp;$CA4,CD$3)</f>
        <v>#NAME?</v>
      </c>
      <c r="CE4" s="52" t="e">
        <f ca="1">_xll.BDP($AY4&amp;" "&amp;$CA4,CE$3)</f>
        <v>#NAME?</v>
      </c>
      <c r="CF4" s="52" t="e">
        <f ca="1">_xll.BDP($AY4&amp;" "&amp;$CA4,CF$3)</f>
        <v>#NAME?</v>
      </c>
      <c r="CG4" s="52" t="e">
        <f ca="1">_xll.BDP($AY4&amp;" "&amp;$CA4,CG$3)</f>
        <v>#NAME?</v>
      </c>
      <c r="CH4" s="52" t="e">
        <f ca="1">_xll.BDP($AY4&amp;" "&amp;$CA4,CH$3)</f>
        <v>#NAME?</v>
      </c>
      <c r="CI4" s="52" t="e">
        <f ca="1">_xll.BDP($AY4&amp;" "&amp;$CA4,CI$3)</f>
        <v>#NAME?</v>
      </c>
      <c r="CJ4" s="52" t="e">
        <f ca="1">_xll.BDP($AY4&amp;" "&amp;$CA4,CJ$3)</f>
        <v>#NAME?</v>
      </c>
      <c r="CK4" s="52" t="e">
        <f ca="1">_xll.BDP($AY4&amp;" "&amp;$CA4,CK$3)</f>
        <v>#NAME?</v>
      </c>
      <c r="CL4" s="52" t="e">
        <f ca="1">_xll.BDP($AY4&amp;" "&amp;$CA4,CL$3)</f>
        <v>#NAME?</v>
      </c>
      <c r="CM4" s="52" t="e">
        <f ca="1">_xll.BDP($AY4&amp;" "&amp;$CA4,CM$3)</f>
        <v>#NAME?</v>
      </c>
      <c r="CN4" s="52" t="e">
        <f ca="1">_xll.BDP($AY4&amp;" "&amp;$CA4,CN$3)</f>
        <v>#NAME?</v>
      </c>
      <c r="CO4" s="52" t="e">
        <f ca="1">_xll.BDP($AY4&amp;" "&amp;$CA4,CO$3)</f>
        <v>#NAME?</v>
      </c>
      <c r="CP4" s="52" t="e">
        <f ca="1">_xll.BDP($AY4&amp;" "&amp;$CA4,CP$3)</f>
        <v>#NAME?</v>
      </c>
      <c r="CQ4" s="52" t="e">
        <f ca="1">_xll.BDP($AY4&amp;" "&amp;$CA4,CQ$3)</f>
        <v>#NAME?</v>
      </c>
      <c r="CR4" s="52" t="e">
        <f ca="1">_xll.BDP($AY4&amp;" "&amp;$CA4,CR$3)</f>
        <v>#NAME?</v>
      </c>
      <c r="CS4" s="52" t="e">
        <f ca="1">_xll.BDP($AY4&amp;" "&amp;$CA4,CS$3)</f>
        <v>#NAME?</v>
      </c>
      <c r="CT4" s="52" t="e">
        <f ca="1">_xll.BDP($AY4&amp;" "&amp;$CA4,CT$3)</f>
        <v>#NAME?</v>
      </c>
      <c r="CU4" t="e">
        <f ca="1">_xll.BDP($CT4&amp;" EQUITY",CU$3)</f>
        <v>#NAME?</v>
      </c>
      <c r="CV4" s="52" t="e">
        <f ca="1">_xll.BDP($CT4&amp;" EQUITY",CV$3)</f>
        <v>#NAME?</v>
      </c>
      <c r="CW4" s="52" t="e">
        <f ca="1">_xll.BDP($CT4&amp;" EQUITY",CW$3)</f>
        <v>#NAME?</v>
      </c>
      <c r="CX4" s="52" t="e">
        <f ca="1">_xll.BDP($CT4&amp;" EQUITY",CX$3)</f>
        <v>#NAME?</v>
      </c>
      <c r="CY4" t="e">
        <f ca="1">_xll.BDH($CT4&amp;" EQUITY",CY$3,CY$2,CY$2)</f>
        <v>#NAME?</v>
      </c>
      <c r="CZ4" s="52" t="e">
        <f ca="1">_xll.BDH($CT4&amp;" EQUITY",CZ$3,CZ$2,CZ$2)</f>
        <v>#NAME?</v>
      </c>
      <c r="DA4" s="52" t="e">
        <f ca="1">_xll.BDH($CT4&amp;" EQUITY",DA$3,DA$2,DA$2)</f>
        <v>#NAME?</v>
      </c>
      <c r="DB4" s="52" t="e">
        <f ca="1">_xll.BDH($CT4&amp;" EQUITY",DB$3,DB$2,DB$2)</f>
        <v>#NAME?</v>
      </c>
      <c r="DC4" s="52" t="e">
        <f ca="1">_xll.BDH($CT4&amp;" EQUITY",DC$3,DC$2,DC$2)</f>
        <v>#NAME?</v>
      </c>
      <c r="DD4" s="52" t="e">
        <f ca="1">_xll.BDH($CT4&amp;" EQUITY",DD$3,DD$2,DD$2)</f>
        <v>#NAME?</v>
      </c>
      <c r="DE4" s="52" t="e">
        <f ca="1">_xll.BDH($CT4&amp;" EQUITY",DE$3,DE$2,DE$2)</f>
        <v>#NAME?</v>
      </c>
      <c r="DF4" s="52" t="e">
        <f ca="1">_xll.BDH($CT4&amp;" EQUITY",DF$3,DF$2,DF$2)</f>
        <v>#NAME?</v>
      </c>
      <c r="DG4" s="52" t="e">
        <f ca="1">_xll.BDH($CT4&amp;" EQUITY",DG$3,DG$2,DG$2)</f>
        <v>#NAME?</v>
      </c>
      <c r="DH4" s="52" t="e">
        <f ca="1">_xll.BDH($CT4&amp;" EQUITY",DH$3,DH$2,DH$2)</f>
        <v>#NAME?</v>
      </c>
      <c r="DI4" s="52" t="e">
        <f ca="1">_xll.BDH($CT4&amp;" EQUITY",DI$3,DI$2,DI$2)</f>
        <v>#NAME?</v>
      </c>
      <c r="DJ4" s="52" t="e">
        <f ca="1">_xll.BDH($CT4&amp;" EQUITY",DJ$3,DJ$2,DJ$2)</f>
        <v>#NAME?</v>
      </c>
    </row>
    <row r="5" spans="1:114" x14ac:dyDescent="0.25">
      <c r="A5" t="s">
        <v>1488</v>
      </c>
      <c r="D5">
        <v>214777103</v>
      </c>
      <c r="E5" t="s">
        <v>1215</v>
      </c>
      <c r="G5" t="s">
        <v>1251</v>
      </c>
      <c r="H5">
        <v>91017</v>
      </c>
      <c r="I5" t="s">
        <v>1254</v>
      </c>
      <c r="J5" t="s">
        <v>1252</v>
      </c>
      <c r="K5" t="s">
        <v>1404</v>
      </c>
      <c r="L5" t="s">
        <v>1463</v>
      </c>
      <c r="M5" t="s">
        <v>1250</v>
      </c>
      <c r="O5">
        <v>42471</v>
      </c>
      <c r="P5">
        <v>42471</v>
      </c>
      <c r="R5" t="s">
        <v>74</v>
      </c>
      <c r="S5">
        <v>-24000</v>
      </c>
      <c r="T5">
        <v>-24000</v>
      </c>
      <c r="W5">
        <v>-23941.919999999998</v>
      </c>
      <c r="Y5">
        <v>1</v>
      </c>
      <c r="Z5" t="s">
        <v>75</v>
      </c>
      <c r="AE5" t="s">
        <v>165</v>
      </c>
      <c r="AF5">
        <v>3.66457132039795</v>
      </c>
      <c r="AG5">
        <v>-3.6651327261024602</v>
      </c>
      <c r="AH5">
        <v>0</v>
      </c>
      <c r="AI5">
        <v>0</v>
      </c>
      <c r="AJ5">
        <v>-0.21398801450050101</v>
      </c>
      <c r="AK5">
        <v>100</v>
      </c>
      <c r="AL5" t="s">
        <v>1470</v>
      </c>
      <c r="AO5" t="s">
        <v>92</v>
      </c>
      <c r="AP5" t="s">
        <v>93</v>
      </c>
      <c r="AQ5" t="s">
        <v>1489</v>
      </c>
      <c r="AT5">
        <v>-19.212</v>
      </c>
      <c r="AU5">
        <v>72</v>
      </c>
      <c r="AX5" t="s">
        <v>76</v>
      </c>
      <c r="AY5" t="s">
        <v>1490</v>
      </c>
      <c r="BA5" t="s">
        <v>1253</v>
      </c>
      <c r="BG5">
        <v>500</v>
      </c>
      <c r="BH5">
        <v>505</v>
      </c>
      <c r="BI5" t="s">
        <v>1252</v>
      </c>
      <c r="BJ5" t="s">
        <v>1404</v>
      </c>
      <c r="BK5">
        <v>1</v>
      </c>
      <c r="CA5" t="s">
        <v>1410</v>
      </c>
      <c r="CB5" t="s">
        <v>1174</v>
      </c>
      <c r="CC5" t="s">
        <v>1174</v>
      </c>
      <c r="CD5" s="52" t="e">
        <f ca="1">_xll.BDP($AY5&amp;" "&amp;$CA5,CD$3)</f>
        <v>#NAME?</v>
      </c>
      <c r="CE5" s="52" t="e">
        <f ca="1">_xll.BDP($AY5&amp;" "&amp;$CA5,CE$3)</f>
        <v>#NAME?</v>
      </c>
      <c r="CF5" s="52" t="e">
        <f ca="1">_xll.BDP($AY5&amp;" "&amp;$CA5,CF$3)</f>
        <v>#NAME?</v>
      </c>
      <c r="CG5" s="52" t="e">
        <f ca="1">_xll.BDP($AY5&amp;" "&amp;$CA5,CG$3)</f>
        <v>#NAME?</v>
      </c>
      <c r="CH5" s="52" t="e">
        <f ca="1">_xll.BDP($AY5&amp;" "&amp;$CA5,CH$3)</f>
        <v>#NAME?</v>
      </c>
      <c r="CI5" s="52" t="e">
        <f ca="1">_xll.BDP($AY5&amp;" "&amp;$CA5,CI$3)</f>
        <v>#NAME?</v>
      </c>
      <c r="CJ5" s="52" t="e">
        <f ca="1">_xll.BDP($AY5&amp;" "&amp;$CA5,CJ$3)</f>
        <v>#NAME?</v>
      </c>
      <c r="CK5" s="52" t="e">
        <f ca="1">_xll.BDP($AY5&amp;" "&amp;$CA5,CK$3)</f>
        <v>#NAME?</v>
      </c>
      <c r="CL5" s="52" t="e">
        <f ca="1">_xll.BDP($AY5&amp;" "&amp;$CA5,CL$3)</f>
        <v>#NAME?</v>
      </c>
      <c r="CM5" s="52" t="e">
        <f ca="1">_xll.BDP($AY5&amp;" "&amp;$CA5,CM$3)</f>
        <v>#NAME?</v>
      </c>
      <c r="CN5" s="52" t="e">
        <f ca="1">_xll.BDP($AY5&amp;" "&amp;$CA5,CN$3)</f>
        <v>#NAME?</v>
      </c>
      <c r="CO5" s="52" t="e">
        <f ca="1">_xll.BDP($AY5&amp;" "&amp;$CA5,CO$3)</f>
        <v>#NAME?</v>
      </c>
      <c r="CP5" s="52" t="e">
        <f ca="1">_xll.BDP($AY5&amp;" "&amp;$CA5,CP$3)</f>
        <v>#NAME?</v>
      </c>
      <c r="CQ5" s="52" t="e">
        <f ca="1">_xll.BDP($AY5&amp;" "&amp;$CA5,CQ$3)</f>
        <v>#NAME?</v>
      </c>
      <c r="CR5" s="52" t="e">
        <f ca="1">_xll.BDP($AY5&amp;" "&amp;$CA5,CR$3)</f>
        <v>#NAME?</v>
      </c>
      <c r="CS5" s="52" t="e">
        <f ca="1">_xll.BDP($AY5&amp;" "&amp;$CA5,CS$3)</f>
        <v>#NAME?</v>
      </c>
      <c r="CT5" s="52" t="e">
        <f ca="1">_xll.BDP($AY5&amp;" "&amp;$CA5,CT$3)</f>
        <v>#NAME?</v>
      </c>
      <c r="CU5" s="52" t="e">
        <f ca="1">_xll.BDP($CT5&amp;" EQUITY",CU$3)</f>
        <v>#NAME?</v>
      </c>
      <c r="CV5" s="52" t="e">
        <f ca="1">_xll.BDP($CT5&amp;" EQUITY",CV$3)</f>
        <v>#NAME?</v>
      </c>
      <c r="CW5" s="52" t="e">
        <f ca="1">_xll.BDP($CT5&amp;" EQUITY",CW$3)</f>
        <v>#NAME?</v>
      </c>
      <c r="CX5" s="52" t="e">
        <f ca="1">_xll.BDP($CT5&amp;" EQUITY",CX$3)</f>
        <v>#NAME?</v>
      </c>
      <c r="CY5" s="52" t="e">
        <f ca="1">_xll.BDH($CT5&amp;" EQUITY",CY$3,CY$2,CY$2)</f>
        <v>#NAME?</v>
      </c>
      <c r="CZ5" s="52" t="e">
        <f ca="1">_xll.BDH($CT5&amp;" EQUITY",CZ$3,CZ$2,CZ$2)</f>
        <v>#NAME?</v>
      </c>
      <c r="DA5" s="52" t="e">
        <f ca="1">_xll.BDH($CT5&amp;" EQUITY",DA$3,DA$2,DA$2)</f>
        <v>#NAME?</v>
      </c>
      <c r="DB5" s="52" t="e">
        <f ca="1">_xll.BDH($CT5&amp;" EQUITY",DB$3,DB$2,DB$2)</f>
        <v>#NAME?</v>
      </c>
      <c r="DC5" s="52" t="e">
        <f ca="1">_xll.BDH($CT5&amp;" EQUITY",DC$3,DC$2,DC$2)</f>
        <v>#NAME?</v>
      </c>
      <c r="DD5" s="52" t="e">
        <f ca="1">_xll.BDH($CT5&amp;" EQUITY",DD$3,DD$2,DD$2)</f>
        <v>#NAME?</v>
      </c>
      <c r="DE5" s="52" t="e">
        <f ca="1">_xll.BDH($CT5&amp;" EQUITY",DE$3,DE$2,DE$2)</f>
        <v>#NAME?</v>
      </c>
      <c r="DF5" s="52" t="e">
        <f ca="1">_xll.BDH($CT5&amp;" EQUITY",DF$3,DF$2,DF$2)</f>
        <v>#NAME?</v>
      </c>
      <c r="DG5" s="52" t="e">
        <f ca="1">_xll.BDH($CT5&amp;" EQUITY",DG$3,DG$2,DG$2)</f>
        <v>#NAME?</v>
      </c>
      <c r="DH5" s="52" t="e">
        <f ca="1">_xll.BDH($CT5&amp;" EQUITY",DH$3,DH$2,DH$2)</f>
        <v>#NAME?</v>
      </c>
      <c r="DI5" s="52" t="e">
        <f ca="1">_xll.BDH($CT5&amp;" EQUITY",DI$3,DI$2,DI$2)</f>
        <v>#NAME?</v>
      </c>
      <c r="DJ5" s="52" t="e">
        <f ca="1">_xll.BDH($CT5&amp;" EQUITY",DJ$3,DJ$2,DJ$2)</f>
        <v>#NAME?</v>
      </c>
    </row>
    <row r="6" spans="1:114" x14ac:dyDescent="0.25">
      <c r="A6" t="s">
        <v>1491</v>
      </c>
      <c r="D6">
        <v>214777104</v>
      </c>
      <c r="E6" t="s">
        <v>1215</v>
      </c>
      <c r="G6" t="s">
        <v>1251</v>
      </c>
      <c r="H6">
        <v>91017</v>
      </c>
      <c r="I6" t="s">
        <v>1254</v>
      </c>
      <c r="J6" t="s">
        <v>1252</v>
      </c>
      <c r="K6" t="s">
        <v>1404</v>
      </c>
      <c r="L6" t="s">
        <v>1492</v>
      </c>
      <c r="M6" t="s">
        <v>1250</v>
      </c>
      <c r="O6">
        <v>43018</v>
      </c>
      <c r="P6">
        <v>43018</v>
      </c>
      <c r="R6" t="s">
        <v>74</v>
      </c>
      <c r="S6">
        <v>-60000</v>
      </c>
      <c r="T6">
        <v>-60000</v>
      </c>
      <c r="W6">
        <v>-59735.1558</v>
      </c>
      <c r="Y6">
        <v>1</v>
      </c>
      <c r="Z6" t="s">
        <v>75</v>
      </c>
      <c r="AE6" t="s">
        <v>165</v>
      </c>
      <c r="AF6">
        <v>17.853908970100701</v>
      </c>
      <c r="AG6">
        <v>-17.859289177198701</v>
      </c>
      <c r="AH6">
        <v>0</v>
      </c>
      <c r="AI6">
        <v>0</v>
      </c>
      <c r="AJ6">
        <v>-0.55418840149650395</v>
      </c>
      <c r="AK6">
        <v>100</v>
      </c>
      <c r="AL6" t="s">
        <v>1493</v>
      </c>
      <c r="AO6" t="s">
        <v>92</v>
      </c>
      <c r="AP6" t="s">
        <v>93</v>
      </c>
      <c r="AQ6" t="s">
        <v>1494</v>
      </c>
      <c r="AT6">
        <v>-205.27959999999999</v>
      </c>
      <c r="AU6">
        <v>180</v>
      </c>
      <c r="AX6" t="s">
        <v>76</v>
      </c>
      <c r="AY6" t="s">
        <v>1495</v>
      </c>
      <c r="BA6" t="s">
        <v>1253</v>
      </c>
      <c r="BG6">
        <v>500</v>
      </c>
      <c r="BH6">
        <v>505</v>
      </c>
      <c r="BI6" t="s">
        <v>1252</v>
      </c>
      <c r="BJ6" t="s">
        <v>1404</v>
      </c>
      <c r="BK6">
        <v>1</v>
      </c>
      <c r="CA6" t="s">
        <v>1410</v>
      </c>
      <c r="CB6" t="s">
        <v>1174</v>
      </c>
      <c r="CC6" t="s">
        <v>1174</v>
      </c>
      <c r="CD6" s="52" t="e">
        <f ca="1">_xll.BDP($AY6&amp;" "&amp;$CA6,CD$3)</f>
        <v>#NAME?</v>
      </c>
      <c r="CE6" s="52" t="e">
        <f ca="1">_xll.BDP($AY6&amp;" "&amp;$CA6,CE$3)</f>
        <v>#NAME?</v>
      </c>
      <c r="CF6" s="52" t="e">
        <f ca="1">_xll.BDP($AY6&amp;" "&amp;$CA6,CF$3)</f>
        <v>#NAME?</v>
      </c>
      <c r="CG6" s="52" t="e">
        <f ca="1">_xll.BDP($AY6&amp;" "&amp;$CA6,CG$3)</f>
        <v>#NAME?</v>
      </c>
      <c r="CH6" s="52" t="e">
        <f ca="1">_xll.BDP($AY6&amp;" "&amp;$CA6,CH$3)</f>
        <v>#NAME?</v>
      </c>
      <c r="CI6" s="52" t="e">
        <f ca="1">_xll.BDP($AY6&amp;" "&amp;$CA6,CI$3)</f>
        <v>#NAME?</v>
      </c>
      <c r="CJ6" s="52" t="e">
        <f ca="1">_xll.BDP($AY6&amp;" "&amp;$CA6,CJ$3)</f>
        <v>#NAME?</v>
      </c>
      <c r="CK6" s="52" t="e">
        <f ca="1">_xll.BDP($AY6&amp;" "&amp;$CA6,CK$3)</f>
        <v>#NAME?</v>
      </c>
      <c r="CL6" s="52" t="e">
        <f ca="1">_xll.BDP($AY6&amp;" "&amp;$CA6,CL$3)</f>
        <v>#NAME?</v>
      </c>
      <c r="CM6" s="52" t="e">
        <f ca="1">_xll.BDP($AY6&amp;" "&amp;$CA6,CM$3)</f>
        <v>#NAME?</v>
      </c>
      <c r="CN6" s="52" t="e">
        <f ca="1">_xll.BDP($AY6&amp;" "&amp;$CA6,CN$3)</f>
        <v>#NAME?</v>
      </c>
      <c r="CO6" s="52" t="e">
        <f ca="1">_xll.BDP($AY6&amp;" "&amp;$CA6,CO$3)</f>
        <v>#NAME?</v>
      </c>
      <c r="CP6" s="52" t="e">
        <f ca="1">_xll.BDP($AY6&amp;" "&amp;$CA6,CP$3)</f>
        <v>#NAME?</v>
      </c>
      <c r="CQ6" s="52" t="e">
        <f ca="1">_xll.BDP($AY6&amp;" "&amp;$CA6,CQ$3)</f>
        <v>#NAME?</v>
      </c>
      <c r="CR6" s="52" t="e">
        <f ca="1">_xll.BDP($AY6&amp;" "&amp;$CA6,CR$3)</f>
        <v>#NAME?</v>
      </c>
      <c r="CS6" s="52" t="e">
        <f ca="1">_xll.BDP($AY6&amp;" "&amp;$CA6,CS$3)</f>
        <v>#NAME?</v>
      </c>
      <c r="CT6" s="52" t="e">
        <f ca="1">_xll.BDP($AY6&amp;" "&amp;$CA6,CT$3)</f>
        <v>#NAME?</v>
      </c>
      <c r="CU6" s="52" t="e">
        <f ca="1">_xll.BDP($CT6&amp;" EQUITY",CU$3)</f>
        <v>#NAME?</v>
      </c>
      <c r="CV6" s="52" t="e">
        <f ca="1">_xll.BDP($CT6&amp;" EQUITY",CV$3)</f>
        <v>#NAME?</v>
      </c>
      <c r="CW6" s="52" t="e">
        <f ca="1">_xll.BDP($CT6&amp;" EQUITY",CW$3)</f>
        <v>#NAME?</v>
      </c>
      <c r="CX6" s="52" t="e">
        <f ca="1">_xll.BDP($CT6&amp;" EQUITY",CX$3)</f>
        <v>#NAME?</v>
      </c>
      <c r="CY6" s="52" t="e">
        <f ca="1">_xll.BDH($CT6&amp;" EQUITY",CY$3,CY$2,CY$2)</f>
        <v>#NAME?</v>
      </c>
      <c r="CZ6" s="52" t="e">
        <f ca="1">_xll.BDH($CT6&amp;" EQUITY",CZ$3,CZ$2,CZ$2)</f>
        <v>#NAME?</v>
      </c>
      <c r="DA6" s="52" t="e">
        <f ca="1">_xll.BDH($CT6&amp;" EQUITY",DA$3,DA$2,DA$2)</f>
        <v>#NAME?</v>
      </c>
      <c r="DB6" s="52" t="e">
        <f ca="1">_xll.BDH($CT6&amp;" EQUITY",DB$3,DB$2,DB$2)</f>
        <v>#NAME?</v>
      </c>
      <c r="DC6" s="52" t="e">
        <f ca="1">_xll.BDH($CT6&amp;" EQUITY",DC$3,DC$2,DC$2)</f>
        <v>#NAME?</v>
      </c>
      <c r="DD6" s="52" t="e">
        <f ca="1">_xll.BDH($CT6&amp;" EQUITY",DD$3,DD$2,DD$2)</f>
        <v>#NAME?</v>
      </c>
      <c r="DE6" s="52" t="e">
        <f ca="1">_xll.BDH($CT6&amp;" EQUITY",DE$3,DE$2,DE$2)</f>
        <v>#NAME?</v>
      </c>
      <c r="DF6" s="52" t="e">
        <f ca="1">_xll.BDH($CT6&amp;" EQUITY",DF$3,DF$2,DF$2)</f>
        <v>#NAME?</v>
      </c>
      <c r="DG6" s="52" t="e">
        <f ca="1">_xll.BDH($CT6&amp;" EQUITY",DG$3,DG$2,DG$2)</f>
        <v>#NAME?</v>
      </c>
      <c r="DH6" s="52" t="e">
        <f ca="1">_xll.BDH($CT6&amp;" EQUITY",DH$3,DH$2,DH$2)</f>
        <v>#NAME?</v>
      </c>
      <c r="DI6" s="52" t="e">
        <f ca="1">_xll.BDH($CT6&amp;" EQUITY",DI$3,DI$2,DI$2)</f>
        <v>#NAME?</v>
      </c>
      <c r="DJ6" s="52" t="e">
        <f ca="1">_xll.BDH($CT6&amp;" EQUITY",DJ$3,DJ$2,DJ$2)</f>
        <v>#NAME?</v>
      </c>
    </row>
    <row r="7" spans="1:114" x14ac:dyDescent="0.25">
      <c r="A7" t="s">
        <v>1496</v>
      </c>
      <c r="D7">
        <v>214777105</v>
      </c>
      <c r="E7" t="s">
        <v>1215</v>
      </c>
      <c r="G7" t="s">
        <v>1251</v>
      </c>
      <c r="H7">
        <v>91017</v>
      </c>
      <c r="I7" t="s">
        <v>1254</v>
      </c>
      <c r="J7" t="s">
        <v>1252</v>
      </c>
      <c r="K7" t="s">
        <v>1404</v>
      </c>
      <c r="L7" t="s">
        <v>1456</v>
      </c>
      <c r="M7" t="s">
        <v>1250</v>
      </c>
      <c r="O7">
        <v>42369</v>
      </c>
      <c r="P7">
        <v>42369</v>
      </c>
      <c r="R7" t="s">
        <v>74</v>
      </c>
      <c r="S7">
        <v>-298000</v>
      </c>
      <c r="T7">
        <v>-298000</v>
      </c>
      <c r="W7">
        <v>-296906.34000000003</v>
      </c>
      <c r="Y7">
        <v>1</v>
      </c>
      <c r="Z7" t="s">
        <v>75</v>
      </c>
      <c r="AE7" t="s">
        <v>165</v>
      </c>
      <c r="AF7">
        <v>37.465434384997899</v>
      </c>
      <c r="AG7">
        <v>-37.470163352962103</v>
      </c>
      <c r="AH7">
        <v>0</v>
      </c>
      <c r="AI7">
        <v>0</v>
      </c>
      <c r="AJ7">
        <v>-2.75769715796923</v>
      </c>
      <c r="AK7">
        <v>100</v>
      </c>
      <c r="AL7" t="s">
        <v>1497</v>
      </c>
      <c r="AO7" t="s">
        <v>92</v>
      </c>
      <c r="AP7" t="s">
        <v>93</v>
      </c>
      <c r="AQ7" t="s">
        <v>1498</v>
      </c>
      <c r="AT7">
        <v>-134.69290000000001</v>
      </c>
      <c r="AU7">
        <v>894</v>
      </c>
      <c r="AX7" t="s">
        <v>76</v>
      </c>
      <c r="AY7" t="s">
        <v>1499</v>
      </c>
      <c r="BA7" t="s">
        <v>1253</v>
      </c>
      <c r="BG7">
        <v>500</v>
      </c>
      <c r="BH7">
        <v>505</v>
      </c>
      <c r="BI7" t="s">
        <v>1252</v>
      </c>
      <c r="BJ7" t="s">
        <v>1404</v>
      </c>
      <c r="BK7">
        <v>1</v>
      </c>
      <c r="CA7" t="s">
        <v>1410</v>
      </c>
      <c r="CB7" t="s">
        <v>1174</v>
      </c>
      <c r="CC7" t="s">
        <v>1174</v>
      </c>
      <c r="CD7" s="52" t="e">
        <f ca="1">_xll.BDP($AY7&amp;" "&amp;$CA7,CD$3)</f>
        <v>#NAME?</v>
      </c>
      <c r="CE7" s="52" t="e">
        <f ca="1">_xll.BDP($AY7&amp;" "&amp;$CA7,CE$3)</f>
        <v>#NAME?</v>
      </c>
      <c r="CF7" s="52" t="e">
        <f ca="1">_xll.BDP($AY7&amp;" "&amp;$CA7,CF$3)</f>
        <v>#NAME?</v>
      </c>
      <c r="CG7" s="52" t="e">
        <f ca="1">_xll.BDP($AY7&amp;" "&amp;$CA7,CG$3)</f>
        <v>#NAME?</v>
      </c>
      <c r="CH7" s="52" t="e">
        <f ca="1">_xll.BDP($AY7&amp;" "&amp;$CA7,CH$3)</f>
        <v>#NAME?</v>
      </c>
      <c r="CI7" s="52" t="e">
        <f ca="1">_xll.BDP($AY7&amp;" "&amp;$CA7,CI$3)</f>
        <v>#NAME?</v>
      </c>
      <c r="CJ7" s="52" t="e">
        <f ca="1">_xll.BDP($AY7&amp;" "&amp;$CA7,CJ$3)</f>
        <v>#NAME?</v>
      </c>
      <c r="CK7" s="52" t="e">
        <f ca="1">_xll.BDP($AY7&amp;" "&amp;$CA7,CK$3)</f>
        <v>#NAME?</v>
      </c>
      <c r="CL7" s="52" t="e">
        <f ca="1">_xll.BDP($AY7&amp;" "&amp;$CA7,CL$3)</f>
        <v>#NAME?</v>
      </c>
      <c r="CM7" s="52" t="e">
        <f ca="1">_xll.BDP($AY7&amp;" "&amp;$CA7,CM$3)</f>
        <v>#NAME?</v>
      </c>
      <c r="CN7" s="52" t="e">
        <f ca="1">_xll.BDP($AY7&amp;" "&amp;$CA7,CN$3)</f>
        <v>#NAME?</v>
      </c>
      <c r="CO7" s="52" t="e">
        <f ca="1">_xll.BDP($AY7&amp;" "&amp;$CA7,CO$3)</f>
        <v>#NAME?</v>
      </c>
      <c r="CP7" s="52" t="e">
        <f ca="1">_xll.BDP($AY7&amp;" "&amp;$CA7,CP$3)</f>
        <v>#NAME?</v>
      </c>
      <c r="CQ7" s="52" t="e">
        <f ca="1">_xll.BDP($AY7&amp;" "&amp;$CA7,CQ$3)</f>
        <v>#NAME?</v>
      </c>
      <c r="CR7" s="52" t="e">
        <f ca="1">_xll.BDP($AY7&amp;" "&amp;$CA7,CR$3)</f>
        <v>#NAME?</v>
      </c>
      <c r="CS7" s="52" t="e">
        <f ca="1">_xll.BDP($AY7&amp;" "&amp;$CA7,CS$3)</f>
        <v>#NAME?</v>
      </c>
      <c r="CT7" s="52" t="e">
        <f ca="1">_xll.BDP($AY7&amp;" "&amp;$CA7,CT$3)</f>
        <v>#NAME?</v>
      </c>
      <c r="CU7" s="52" t="e">
        <f ca="1">_xll.BDP($CT7&amp;" EQUITY",CU$3)</f>
        <v>#NAME?</v>
      </c>
      <c r="CV7" s="52" t="e">
        <f ca="1">_xll.BDP($CT7&amp;" EQUITY",CV$3)</f>
        <v>#NAME?</v>
      </c>
      <c r="CW7" s="52" t="e">
        <f ca="1">_xll.BDP($CT7&amp;" EQUITY",CW$3)</f>
        <v>#NAME?</v>
      </c>
      <c r="CX7" s="52" t="e">
        <f ca="1">_xll.BDP($CT7&amp;" EQUITY",CX$3)</f>
        <v>#NAME?</v>
      </c>
      <c r="CY7" s="52" t="e">
        <f ca="1">_xll.BDH($CT7&amp;" EQUITY",CY$3,CY$2,CY$2)</f>
        <v>#NAME?</v>
      </c>
      <c r="CZ7" s="52" t="e">
        <f ca="1">_xll.BDH($CT7&amp;" EQUITY",CZ$3,CZ$2,CZ$2)</f>
        <v>#NAME?</v>
      </c>
      <c r="DA7" s="52" t="e">
        <f ca="1">_xll.BDH($CT7&amp;" EQUITY",DA$3,DA$2,DA$2)</f>
        <v>#NAME?</v>
      </c>
      <c r="DB7" s="52" t="e">
        <f ca="1">_xll.BDH($CT7&amp;" EQUITY",DB$3,DB$2,DB$2)</f>
        <v>#NAME?</v>
      </c>
      <c r="DC7" s="52" t="e">
        <f ca="1">_xll.BDH($CT7&amp;" EQUITY",DC$3,DC$2,DC$2)</f>
        <v>#NAME?</v>
      </c>
      <c r="DD7" s="52" t="e">
        <f ca="1">_xll.BDH($CT7&amp;" EQUITY",DD$3,DD$2,DD$2)</f>
        <v>#NAME?</v>
      </c>
      <c r="DE7" s="52" t="e">
        <f ca="1">_xll.BDH($CT7&amp;" EQUITY",DE$3,DE$2,DE$2)</f>
        <v>#NAME?</v>
      </c>
      <c r="DF7" s="52" t="e">
        <f ca="1">_xll.BDH($CT7&amp;" EQUITY",DF$3,DF$2,DF$2)</f>
        <v>#NAME?</v>
      </c>
      <c r="DG7" s="52" t="e">
        <f ca="1">_xll.BDH($CT7&amp;" EQUITY",DG$3,DG$2,DG$2)</f>
        <v>#NAME?</v>
      </c>
      <c r="DH7" s="52" t="e">
        <f ca="1">_xll.BDH($CT7&amp;" EQUITY",DH$3,DH$2,DH$2)</f>
        <v>#NAME?</v>
      </c>
      <c r="DI7" s="52" t="e">
        <f ca="1">_xll.BDH($CT7&amp;" EQUITY",DI$3,DI$2,DI$2)</f>
        <v>#NAME?</v>
      </c>
      <c r="DJ7" s="52" t="e">
        <f ca="1">_xll.BDH($CT7&amp;" EQUITY",DJ$3,DJ$2,DJ$2)</f>
        <v>#NAME?</v>
      </c>
    </row>
    <row r="8" spans="1:114" x14ac:dyDescent="0.25">
      <c r="A8" t="s">
        <v>1500</v>
      </c>
      <c r="D8">
        <v>214777112</v>
      </c>
      <c r="E8" t="s">
        <v>1215</v>
      </c>
      <c r="G8" t="s">
        <v>1251</v>
      </c>
      <c r="H8">
        <v>91017</v>
      </c>
      <c r="I8" t="s">
        <v>1254</v>
      </c>
      <c r="J8" t="s">
        <v>1252</v>
      </c>
      <c r="K8" t="s">
        <v>1404</v>
      </c>
      <c r="L8" t="s">
        <v>1501</v>
      </c>
      <c r="M8" t="s">
        <v>1250</v>
      </c>
      <c r="O8">
        <v>42016</v>
      </c>
      <c r="P8">
        <v>42016</v>
      </c>
      <c r="R8" t="s">
        <v>74</v>
      </c>
      <c r="S8">
        <v>-150000</v>
      </c>
      <c r="T8">
        <v>-150000</v>
      </c>
      <c r="W8">
        <v>-149923.5</v>
      </c>
      <c r="Y8">
        <v>1</v>
      </c>
      <c r="Z8" t="s">
        <v>75</v>
      </c>
      <c r="AE8" t="s">
        <v>165</v>
      </c>
      <c r="AF8">
        <v>4.3128057740104904</v>
      </c>
      <c r="AG8">
        <v>-4.3129298429994396</v>
      </c>
      <c r="AH8">
        <v>0</v>
      </c>
      <c r="AI8">
        <v>0</v>
      </c>
      <c r="AJ8">
        <v>-1.02624615299283</v>
      </c>
      <c r="AK8">
        <v>100</v>
      </c>
      <c r="AL8" t="s">
        <v>1502</v>
      </c>
      <c r="AO8" t="s">
        <v>92</v>
      </c>
      <c r="AP8" t="s">
        <v>93</v>
      </c>
      <c r="AQ8" t="s">
        <v>1503</v>
      </c>
      <c r="AT8">
        <v>-2.8332000000000002</v>
      </c>
      <c r="AU8">
        <v>450</v>
      </c>
      <c r="AX8" t="s">
        <v>76</v>
      </c>
      <c r="AY8" t="s">
        <v>1504</v>
      </c>
      <c r="BA8" t="s">
        <v>1253</v>
      </c>
      <c r="BG8">
        <v>500</v>
      </c>
      <c r="BH8">
        <v>505</v>
      </c>
      <c r="BI8" t="s">
        <v>1252</v>
      </c>
      <c r="BJ8" t="s">
        <v>1404</v>
      </c>
      <c r="BK8">
        <v>1</v>
      </c>
      <c r="CA8" t="s">
        <v>1410</v>
      </c>
      <c r="CB8" t="s">
        <v>1174</v>
      </c>
      <c r="CC8" t="s">
        <v>1174</v>
      </c>
      <c r="CD8" s="52" t="e">
        <f ca="1">_xll.BDP($AY8&amp;" "&amp;$CA8,CD$3)</f>
        <v>#NAME?</v>
      </c>
      <c r="CE8" s="52" t="e">
        <f ca="1">_xll.BDP($AY8&amp;" "&amp;$CA8,CE$3)</f>
        <v>#NAME?</v>
      </c>
      <c r="CF8" s="52" t="e">
        <f ca="1">_xll.BDP($AY8&amp;" "&amp;$CA8,CF$3)</f>
        <v>#NAME?</v>
      </c>
      <c r="CG8" s="52" t="e">
        <f ca="1">_xll.BDP($AY8&amp;" "&amp;$CA8,CG$3)</f>
        <v>#NAME?</v>
      </c>
      <c r="CH8" s="52" t="e">
        <f ca="1">_xll.BDP($AY8&amp;" "&amp;$CA8,CH$3)</f>
        <v>#NAME?</v>
      </c>
      <c r="CI8" s="52" t="e">
        <f ca="1">_xll.BDP($AY8&amp;" "&amp;$CA8,CI$3)</f>
        <v>#NAME?</v>
      </c>
      <c r="CJ8" s="52" t="e">
        <f ca="1">_xll.BDP($AY8&amp;" "&amp;$CA8,CJ$3)</f>
        <v>#NAME?</v>
      </c>
      <c r="CK8" s="52" t="e">
        <f ca="1">_xll.BDP($AY8&amp;" "&amp;$CA8,CK$3)</f>
        <v>#NAME?</v>
      </c>
      <c r="CL8" s="52" t="e">
        <f ca="1">_xll.BDP($AY8&amp;" "&amp;$CA8,CL$3)</f>
        <v>#NAME?</v>
      </c>
      <c r="CM8" s="52" t="e">
        <f ca="1">_xll.BDP($AY8&amp;" "&amp;$CA8,CM$3)</f>
        <v>#NAME?</v>
      </c>
      <c r="CN8" s="52" t="e">
        <f ca="1">_xll.BDP($AY8&amp;" "&amp;$CA8,CN$3)</f>
        <v>#NAME?</v>
      </c>
      <c r="CO8" s="52" t="e">
        <f ca="1">_xll.BDP($AY8&amp;" "&amp;$CA8,CO$3)</f>
        <v>#NAME?</v>
      </c>
      <c r="CP8" s="52" t="e">
        <f ca="1">_xll.BDP($AY8&amp;" "&amp;$CA8,CP$3)</f>
        <v>#NAME?</v>
      </c>
      <c r="CQ8" s="52" t="e">
        <f ca="1">_xll.BDP($AY8&amp;" "&amp;$CA8,CQ$3)</f>
        <v>#NAME?</v>
      </c>
      <c r="CR8" s="52" t="e">
        <f ca="1">_xll.BDP($AY8&amp;" "&amp;$CA8,CR$3)</f>
        <v>#NAME?</v>
      </c>
      <c r="CS8" s="52" t="e">
        <f ca="1">_xll.BDP($AY8&amp;" "&amp;$CA8,CS$3)</f>
        <v>#NAME?</v>
      </c>
      <c r="CT8" s="52" t="e">
        <f ca="1">_xll.BDP($AY8&amp;" "&amp;$CA8,CT$3)</f>
        <v>#NAME?</v>
      </c>
      <c r="CU8" s="52" t="e">
        <f ca="1">_xll.BDP($CT8&amp;" EQUITY",CU$3)</f>
        <v>#NAME?</v>
      </c>
      <c r="CV8" s="52" t="e">
        <f ca="1">_xll.BDP($CT8&amp;" EQUITY",CV$3)</f>
        <v>#NAME?</v>
      </c>
      <c r="CW8" s="52" t="e">
        <f ca="1">_xll.BDP($CT8&amp;" EQUITY",CW$3)</f>
        <v>#NAME?</v>
      </c>
      <c r="CX8" s="52" t="e">
        <f ca="1">_xll.BDP($CT8&amp;" EQUITY",CX$3)</f>
        <v>#NAME?</v>
      </c>
      <c r="CY8" s="52" t="e">
        <f ca="1">_xll.BDH($CT8&amp;" EQUITY",CY$3,CY$2,CY$2)</f>
        <v>#NAME?</v>
      </c>
      <c r="CZ8" s="52" t="e">
        <f ca="1">_xll.BDH($CT8&amp;" EQUITY",CZ$3,CZ$2,CZ$2)</f>
        <v>#NAME?</v>
      </c>
      <c r="DA8" s="52" t="e">
        <f ca="1">_xll.BDH($CT8&amp;" EQUITY",DA$3,DA$2,DA$2)</f>
        <v>#NAME?</v>
      </c>
      <c r="DB8" s="52" t="e">
        <f ca="1">_xll.BDH($CT8&amp;" EQUITY",DB$3,DB$2,DB$2)</f>
        <v>#NAME?</v>
      </c>
      <c r="DC8" s="52" t="e">
        <f ca="1">_xll.BDH($CT8&amp;" EQUITY",DC$3,DC$2,DC$2)</f>
        <v>#NAME?</v>
      </c>
      <c r="DD8" s="52" t="e">
        <f ca="1">_xll.BDH($CT8&amp;" EQUITY",DD$3,DD$2,DD$2)</f>
        <v>#NAME?</v>
      </c>
      <c r="DE8" s="52" t="e">
        <f ca="1">_xll.BDH($CT8&amp;" EQUITY",DE$3,DE$2,DE$2)</f>
        <v>#NAME?</v>
      </c>
      <c r="DF8" s="52" t="e">
        <f ca="1">_xll.BDH($CT8&amp;" EQUITY",DF$3,DF$2,DF$2)</f>
        <v>#NAME?</v>
      </c>
      <c r="DG8" s="52" t="e">
        <f ca="1">_xll.BDH($CT8&amp;" EQUITY",DG$3,DG$2,DG$2)</f>
        <v>#NAME?</v>
      </c>
      <c r="DH8" s="52" t="e">
        <f ca="1">_xll.BDH($CT8&amp;" EQUITY",DH$3,DH$2,DH$2)</f>
        <v>#NAME?</v>
      </c>
      <c r="DI8" s="52" t="e">
        <f ca="1">_xll.BDH($CT8&amp;" EQUITY",DI$3,DI$2,DI$2)</f>
        <v>#NAME?</v>
      </c>
      <c r="DJ8" s="52" t="e">
        <f ca="1">_xll.BDH($CT8&amp;" EQUITY",DJ$3,DJ$2,DJ$2)</f>
        <v>#NAME?</v>
      </c>
    </row>
    <row r="9" spans="1:114" x14ac:dyDescent="0.25">
      <c r="A9" t="s">
        <v>1505</v>
      </c>
      <c r="D9">
        <v>214777113</v>
      </c>
      <c r="E9" t="s">
        <v>1215</v>
      </c>
      <c r="G9" t="s">
        <v>1251</v>
      </c>
      <c r="H9">
        <v>91017</v>
      </c>
      <c r="I9" t="s">
        <v>1254</v>
      </c>
      <c r="J9" t="s">
        <v>1252</v>
      </c>
      <c r="K9" t="s">
        <v>1404</v>
      </c>
      <c r="L9" t="s">
        <v>1506</v>
      </c>
      <c r="M9" t="s">
        <v>1250</v>
      </c>
      <c r="O9">
        <v>45573</v>
      </c>
      <c r="P9">
        <v>45573</v>
      </c>
      <c r="R9" t="s">
        <v>74</v>
      </c>
      <c r="S9">
        <v>-25000</v>
      </c>
      <c r="T9">
        <v>-25000</v>
      </c>
      <c r="W9">
        <v>-24680.5</v>
      </c>
      <c r="Y9">
        <v>1</v>
      </c>
      <c r="Z9" t="s">
        <v>75</v>
      </c>
      <c r="AE9" t="s">
        <v>165</v>
      </c>
      <c r="AF9">
        <v>21.475531337699099</v>
      </c>
      <c r="AG9">
        <v>-21.495931310699198</v>
      </c>
      <c r="AH9">
        <v>0</v>
      </c>
      <c r="AI9">
        <v>0</v>
      </c>
      <c r="AJ9">
        <v>-0.48959364890106399</v>
      </c>
      <c r="AK9">
        <v>100</v>
      </c>
      <c r="AL9" t="s">
        <v>1507</v>
      </c>
      <c r="AO9" t="s">
        <v>92</v>
      </c>
      <c r="AP9" t="s">
        <v>93</v>
      </c>
      <c r="AQ9" t="s">
        <v>1508</v>
      </c>
      <c r="AT9">
        <v>-253.94489999999999</v>
      </c>
      <c r="AU9">
        <v>75</v>
      </c>
      <c r="AX9" t="s">
        <v>76</v>
      </c>
      <c r="AY9" t="s">
        <v>1509</v>
      </c>
      <c r="BA9" t="s">
        <v>1253</v>
      </c>
      <c r="BG9">
        <v>500</v>
      </c>
      <c r="BH9">
        <v>505</v>
      </c>
      <c r="BI9" t="s">
        <v>1252</v>
      </c>
      <c r="BJ9" t="s">
        <v>1404</v>
      </c>
      <c r="BK9">
        <v>1</v>
      </c>
      <c r="CA9" t="s">
        <v>1410</v>
      </c>
      <c r="CB9" t="s">
        <v>1174</v>
      </c>
      <c r="CC9" t="s">
        <v>1174</v>
      </c>
      <c r="CD9" s="52" t="e">
        <f ca="1">_xll.BDP($AY9&amp;" "&amp;$CA9,CD$3)</f>
        <v>#NAME?</v>
      </c>
      <c r="CE9" s="52" t="e">
        <f ca="1">_xll.BDP($AY9&amp;" "&amp;$CA9,CE$3)</f>
        <v>#NAME?</v>
      </c>
      <c r="CF9" s="52" t="e">
        <f ca="1">_xll.BDP($AY9&amp;" "&amp;$CA9,CF$3)</f>
        <v>#NAME?</v>
      </c>
      <c r="CG9" s="52" t="e">
        <f ca="1">_xll.BDP($AY9&amp;" "&amp;$CA9,CG$3)</f>
        <v>#NAME?</v>
      </c>
      <c r="CH9" s="52" t="e">
        <f ca="1">_xll.BDP($AY9&amp;" "&amp;$CA9,CH$3)</f>
        <v>#NAME?</v>
      </c>
      <c r="CI9" s="52" t="e">
        <f ca="1">_xll.BDP($AY9&amp;" "&amp;$CA9,CI$3)</f>
        <v>#NAME?</v>
      </c>
      <c r="CJ9" s="52" t="e">
        <f ca="1">_xll.BDP($AY9&amp;" "&amp;$CA9,CJ$3)</f>
        <v>#NAME?</v>
      </c>
      <c r="CK9" s="52" t="e">
        <f ca="1">_xll.BDP($AY9&amp;" "&amp;$CA9,CK$3)</f>
        <v>#NAME?</v>
      </c>
      <c r="CL9" s="52" t="e">
        <f ca="1">_xll.BDP($AY9&amp;" "&amp;$CA9,CL$3)</f>
        <v>#NAME?</v>
      </c>
      <c r="CM9" s="52" t="e">
        <f ca="1">_xll.BDP($AY9&amp;" "&amp;$CA9,CM$3)</f>
        <v>#NAME?</v>
      </c>
      <c r="CN9" s="52" t="e">
        <f ca="1">_xll.BDP($AY9&amp;" "&amp;$CA9,CN$3)</f>
        <v>#NAME?</v>
      </c>
      <c r="CO9" s="52" t="e">
        <f ca="1">_xll.BDP($AY9&amp;" "&amp;$CA9,CO$3)</f>
        <v>#NAME?</v>
      </c>
      <c r="CP9" s="52" t="e">
        <f ca="1">_xll.BDP($AY9&amp;" "&amp;$CA9,CP$3)</f>
        <v>#NAME?</v>
      </c>
      <c r="CQ9" s="52" t="e">
        <f ca="1">_xll.BDP($AY9&amp;" "&amp;$CA9,CQ$3)</f>
        <v>#NAME?</v>
      </c>
      <c r="CR9" s="52" t="e">
        <f ca="1">_xll.BDP($AY9&amp;" "&amp;$CA9,CR$3)</f>
        <v>#NAME?</v>
      </c>
      <c r="CS9" s="52" t="e">
        <f ca="1">_xll.BDP($AY9&amp;" "&amp;$CA9,CS$3)</f>
        <v>#NAME?</v>
      </c>
      <c r="CT9" s="52" t="e">
        <f ca="1">_xll.BDP($AY9&amp;" "&amp;$CA9,CT$3)</f>
        <v>#NAME?</v>
      </c>
      <c r="CU9" s="52" t="e">
        <f ca="1">_xll.BDP($CT9&amp;" EQUITY",CU$3)</f>
        <v>#NAME?</v>
      </c>
      <c r="CV9" s="52" t="e">
        <f ca="1">_xll.BDP($CT9&amp;" EQUITY",CV$3)</f>
        <v>#NAME?</v>
      </c>
      <c r="CW9" s="52" t="e">
        <f ca="1">_xll.BDP($CT9&amp;" EQUITY",CW$3)</f>
        <v>#NAME?</v>
      </c>
      <c r="CX9" s="52" t="e">
        <f ca="1">_xll.BDP($CT9&amp;" EQUITY",CX$3)</f>
        <v>#NAME?</v>
      </c>
      <c r="CY9" s="52" t="e">
        <f ca="1">_xll.BDH($CT9&amp;" EQUITY",CY$3,CY$2,CY$2)</f>
        <v>#NAME?</v>
      </c>
      <c r="CZ9" s="52" t="e">
        <f ca="1">_xll.BDH($CT9&amp;" EQUITY",CZ$3,CZ$2,CZ$2)</f>
        <v>#NAME?</v>
      </c>
      <c r="DA9" s="52" t="e">
        <f ca="1">_xll.BDH($CT9&amp;" EQUITY",DA$3,DA$2,DA$2)</f>
        <v>#NAME?</v>
      </c>
      <c r="DB9" s="52" t="e">
        <f ca="1">_xll.BDH($CT9&amp;" EQUITY",DB$3,DB$2,DB$2)</f>
        <v>#NAME?</v>
      </c>
      <c r="DC9" s="52" t="e">
        <f ca="1">_xll.BDH($CT9&amp;" EQUITY",DC$3,DC$2,DC$2)</f>
        <v>#NAME?</v>
      </c>
      <c r="DD9" s="52" t="e">
        <f ca="1">_xll.BDH($CT9&amp;" EQUITY",DD$3,DD$2,DD$2)</f>
        <v>#NAME?</v>
      </c>
      <c r="DE9" s="52" t="e">
        <f ca="1">_xll.BDH($CT9&amp;" EQUITY",DE$3,DE$2,DE$2)</f>
        <v>#NAME?</v>
      </c>
      <c r="DF9" s="52" t="e">
        <f ca="1">_xll.BDH($CT9&amp;" EQUITY",DF$3,DF$2,DF$2)</f>
        <v>#NAME?</v>
      </c>
      <c r="DG9" s="52" t="e">
        <f ca="1">_xll.BDH($CT9&amp;" EQUITY",DG$3,DG$2,DG$2)</f>
        <v>#NAME?</v>
      </c>
      <c r="DH9" s="52" t="e">
        <f ca="1">_xll.BDH($CT9&amp;" EQUITY",DH$3,DH$2,DH$2)</f>
        <v>#NAME?</v>
      </c>
      <c r="DI9" s="52" t="e">
        <f ca="1">_xll.BDH($CT9&amp;" EQUITY",DI$3,DI$2,DI$2)</f>
        <v>#NAME?</v>
      </c>
      <c r="DJ9" s="52" t="e">
        <f ca="1">_xll.BDH($CT9&amp;" EQUITY",DJ$3,DJ$2,DJ$2)</f>
        <v>#NAME?</v>
      </c>
    </row>
    <row r="10" spans="1:114" x14ac:dyDescent="0.25">
      <c r="A10" t="s">
        <v>1510</v>
      </c>
      <c r="D10">
        <v>214777114</v>
      </c>
      <c r="E10" t="s">
        <v>1215</v>
      </c>
      <c r="G10" t="s">
        <v>1251</v>
      </c>
      <c r="H10">
        <v>91017</v>
      </c>
      <c r="I10" t="s">
        <v>1254</v>
      </c>
      <c r="J10" t="s">
        <v>1252</v>
      </c>
      <c r="K10" t="s">
        <v>1404</v>
      </c>
      <c r="L10" t="s">
        <v>1466</v>
      </c>
      <c r="M10" t="s">
        <v>1250</v>
      </c>
      <c r="O10">
        <v>43382</v>
      </c>
      <c r="P10">
        <v>43382</v>
      </c>
      <c r="R10" t="s">
        <v>74</v>
      </c>
      <c r="S10">
        <v>-125000</v>
      </c>
      <c r="T10">
        <v>-125000</v>
      </c>
      <c r="W10">
        <v>-123842.5</v>
      </c>
      <c r="Y10">
        <v>1</v>
      </c>
      <c r="Z10" t="s">
        <v>75</v>
      </c>
      <c r="AE10" t="s">
        <v>165</v>
      </c>
      <c r="AF10">
        <v>48.484531344001901</v>
      </c>
      <c r="AG10">
        <v>-48.503837597003397</v>
      </c>
      <c r="AH10">
        <v>0</v>
      </c>
      <c r="AI10">
        <v>0</v>
      </c>
      <c r="AJ10">
        <v>-1.74952438700711</v>
      </c>
      <c r="AK10">
        <v>100</v>
      </c>
      <c r="AL10" t="s">
        <v>1511</v>
      </c>
      <c r="AO10" t="s">
        <v>92</v>
      </c>
      <c r="AP10" t="s">
        <v>93</v>
      </c>
      <c r="AQ10" t="s">
        <v>1512</v>
      </c>
      <c r="AT10">
        <v>-672.17570000000001</v>
      </c>
      <c r="AU10">
        <v>375</v>
      </c>
      <c r="AX10" t="s">
        <v>76</v>
      </c>
      <c r="AY10" t="s">
        <v>1513</v>
      </c>
      <c r="BA10" t="s">
        <v>1253</v>
      </c>
      <c r="BG10">
        <v>500</v>
      </c>
      <c r="BH10">
        <v>505</v>
      </c>
      <c r="BI10" t="s">
        <v>1252</v>
      </c>
      <c r="BJ10" t="s">
        <v>1404</v>
      </c>
      <c r="BK10">
        <v>1</v>
      </c>
      <c r="CA10" t="s">
        <v>1410</v>
      </c>
      <c r="CB10" t="s">
        <v>1174</v>
      </c>
      <c r="CC10" t="s">
        <v>1174</v>
      </c>
      <c r="CD10" s="52" t="e">
        <f ca="1">_xll.BDP($AY10&amp;" "&amp;$CA10,CD$3)</f>
        <v>#NAME?</v>
      </c>
      <c r="CE10" s="52" t="e">
        <f ca="1">_xll.BDP($AY10&amp;" "&amp;$CA10,CE$3)</f>
        <v>#NAME?</v>
      </c>
      <c r="CF10" s="52" t="e">
        <f ca="1">_xll.BDP($AY10&amp;" "&amp;$CA10,CF$3)</f>
        <v>#NAME?</v>
      </c>
      <c r="CG10" s="52" t="e">
        <f ca="1">_xll.BDP($AY10&amp;" "&amp;$CA10,CG$3)</f>
        <v>#NAME?</v>
      </c>
      <c r="CH10" s="52" t="e">
        <f ca="1">_xll.BDP($AY10&amp;" "&amp;$CA10,CH$3)</f>
        <v>#NAME?</v>
      </c>
      <c r="CI10" s="52" t="e">
        <f ca="1">_xll.BDP($AY10&amp;" "&amp;$CA10,CI$3)</f>
        <v>#NAME?</v>
      </c>
      <c r="CJ10" s="52" t="e">
        <f ca="1">_xll.BDP($AY10&amp;" "&amp;$CA10,CJ$3)</f>
        <v>#NAME?</v>
      </c>
      <c r="CK10" s="52" t="e">
        <f ca="1">_xll.BDP($AY10&amp;" "&amp;$CA10,CK$3)</f>
        <v>#NAME?</v>
      </c>
      <c r="CL10" s="52" t="e">
        <f ca="1">_xll.BDP($AY10&amp;" "&amp;$CA10,CL$3)</f>
        <v>#NAME?</v>
      </c>
      <c r="CM10" s="52" t="e">
        <f ca="1">_xll.BDP($AY10&amp;" "&amp;$CA10,CM$3)</f>
        <v>#NAME?</v>
      </c>
      <c r="CN10" s="52" t="e">
        <f ca="1">_xll.BDP($AY10&amp;" "&amp;$CA10,CN$3)</f>
        <v>#NAME?</v>
      </c>
      <c r="CO10" s="52" t="e">
        <f ca="1">_xll.BDP($AY10&amp;" "&amp;$CA10,CO$3)</f>
        <v>#NAME?</v>
      </c>
      <c r="CP10" s="52" t="e">
        <f ca="1">_xll.BDP($AY10&amp;" "&amp;$CA10,CP$3)</f>
        <v>#NAME?</v>
      </c>
      <c r="CQ10" s="52" t="e">
        <f ca="1">_xll.BDP($AY10&amp;" "&amp;$CA10,CQ$3)</f>
        <v>#NAME?</v>
      </c>
      <c r="CR10" s="52" t="e">
        <f ca="1">_xll.BDP($AY10&amp;" "&amp;$CA10,CR$3)</f>
        <v>#NAME?</v>
      </c>
      <c r="CS10" s="52" t="e">
        <f ca="1">_xll.BDP($AY10&amp;" "&amp;$CA10,CS$3)</f>
        <v>#NAME?</v>
      </c>
      <c r="CT10" s="52" t="e">
        <f ca="1">_xll.BDP($AY10&amp;" "&amp;$CA10,CT$3)</f>
        <v>#NAME?</v>
      </c>
      <c r="CU10" s="52" t="e">
        <f ca="1">_xll.BDP($CT10&amp;" EQUITY",CU$3)</f>
        <v>#NAME?</v>
      </c>
      <c r="CV10" s="52" t="e">
        <f ca="1">_xll.BDP($CT10&amp;" EQUITY",CV$3)</f>
        <v>#NAME?</v>
      </c>
      <c r="CW10" s="52" t="e">
        <f ca="1">_xll.BDP($CT10&amp;" EQUITY",CW$3)</f>
        <v>#NAME?</v>
      </c>
      <c r="CX10" s="52" t="e">
        <f ca="1">_xll.BDP($CT10&amp;" EQUITY",CX$3)</f>
        <v>#NAME?</v>
      </c>
      <c r="CY10" s="52" t="e">
        <f ca="1">_xll.BDH($CT10&amp;" EQUITY",CY$3,CY$2,CY$2)</f>
        <v>#NAME?</v>
      </c>
      <c r="CZ10" s="52" t="e">
        <f ca="1">_xll.BDH($CT10&amp;" EQUITY",CZ$3,CZ$2,CZ$2)</f>
        <v>#NAME?</v>
      </c>
      <c r="DA10" s="52" t="e">
        <f ca="1">_xll.BDH($CT10&amp;" EQUITY",DA$3,DA$2,DA$2)</f>
        <v>#NAME?</v>
      </c>
      <c r="DB10" s="52" t="e">
        <f ca="1">_xll.BDH($CT10&amp;" EQUITY",DB$3,DB$2,DB$2)</f>
        <v>#NAME?</v>
      </c>
      <c r="DC10" s="52" t="e">
        <f ca="1">_xll.BDH($CT10&amp;" EQUITY",DC$3,DC$2,DC$2)</f>
        <v>#NAME?</v>
      </c>
      <c r="DD10" s="52" t="e">
        <f ca="1">_xll.BDH($CT10&amp;" EQUITY",DD$3,DD$2,DD$2)</f>
        <v>#NAME?</v>
      </c>
      <c r="DE10" s="52" t="e">
        <f ca="1">_xll.BDH($CT10&amp;" EQUITY",DE$3,DE$2,DE$2)</f>
        <v>#NAME?</v>
      </c>
      <c r="DF10" s="52" t="e">
        <f ca="1">_xll.BDH($CT10&amp;" EQUITY",DF$3,DF$2,DF$2)</f>
        <v>#NAME?</v>
      </c>
      <c r="DG10" s="52" t="e">
        <f ca="1">_xll.BDH($CT10&amp;" EQUITY",DG$3,DG$2,DG$2)</f>
        <v>#NAME?</v>
      </c>
      <c r="DH10" s="52" t="e">
        <f ca="1">_xll.BDH($CT10&amp;" EQUITY",DH$3,DH$2,DH$2)</f>
        <v>#NAME?</v>
      </c>
      <c r="DI10" s="52" t="e">
        <f ca="1">_xll.BDH($CT10&amp;" EQUITY",DI$3,DI$2,DI$2)</f>
        <v>#NAME?</v>
      </c>
      <c r="DJ10" s="52" t="e">
        <f ca="1">_xll.BDH($CT10&amp;" EQUITY",DJ$3,DJ$2,DJ$2)</f>
        <v>#NAME?</v>
      </c>
    </row>
    <row r="11" spans="1:114" x14ac:dyDescent="0.25">
      <c r="A11" t="s">
        <v>1514</v>
      </c>
      <c r="D11">
        <v>214777115</v>
      </c>
      <c r="E11" t="s">
        <v>1215</v>
      </c>
      <c r="G11" t="s">
        <v>1251</v>
      </c>
      <c r="H11">
        <v>91017</v>
      </c>
      <c r="I11" t="s">
        <v>1254</v>
      </c>
      <c r="J11" t="s">
        <v>1252</v>
      </c>
      <c r="K11" t="s">
        <v>1404</v>
      </c>
      <c r="L11" t="s">
        <v>1515</v>
      </c>
      <c r="M11" t="s">
        <v>1250</v>
      </c>
      <c r="O11">
        <v>43745</v>
      </c>
      <c r="P11">
        <v>43745</v>
      </c>
      <c r="R11" t="s">
        <v>74</v>
      </c>
      <c r="S11">
        <v>-272000</v>
      </c>
      <c r="T11">
        <v>-272000</v>
      </c>
      <c r="W11">
        <v>-269380.64</v>
      </c>
      <c r="Y11">
        <v>1</v>
      </c>
      <c r="Z11" t="s">
        <v>75</v>
      </c>
      <c r="AE11" t="s">
        <v>165</v>
      </c>
      <c r="AF11">
        <v>129.830210736021</v>
      </c>
      <c r="AG11">
        <v>-129.89436424599299</v>
      </c>
      <c r="AH11">
        <v>0</v>
      </c>
      <c r="AI11">
        <v>0</v>
      </c>
      <c r="AJ11">
        <v>-2.81446341896662</v>
      </c>
      <c r="AK11">
        <v>100</v>
      </c>
      <c r="AL11" t="s">
        <v>1516</v>
      </c>
      <c r="AO11" t="s">
        <v>92</v>
      </c>
      <c r="AP11" t="s">
        <v>93</v>
      </c>
      <c r="AQ11" t="s">
        <v>1517</v>
      </c>
      <c r="AT11">
        <v>-1673.1463000000001</v>
      </c>
      <c r="AU11">
        <v>816</v>
      </c>
      <c r="AX11" t="s">
        <v>76</v>
      </c>
      <c r="AY11" t="s">
        <v>1518</v>
      </c>
      <c r="BA11" t="s">
        <v>1253</v>
      </c>
      <c r="BG11">
        <v>500</v>
      </c>
      <c r="BH11">
        <v>505</v>
      </c>
      <c r="BI11" t="s">
        <v>1252</v>
      </c>
      <c r="BJ11" t="s">
        <v>1404</v>
      </c>
      <c r="BK11">
        <v>1</v>
      </c>
      <c r="CA11" t="s">
        <v>1410</v>
      </c>
      <c r="CB11" t="s">
        <v>1174</v>
      </c>
      <c r="CC11" t="s">
        <v>1174</v>
      </c>
      <c r="CD11" s="52" t="e">
        <f ca="1">_xll.BDP($AY11&amp;" "&amp;$CA11,CD$3)</f>
        <v>#NAME?</v>
      </c>
      <c r="CE11" s="52" t="e">
        <f ca="1">_xll.BDP($AY11&amp;" "&amp;$CA11,CE$3)</f>
        <v>#NAME?</v>
      </c>
      <c r="CF11" s="52" t="e">
        <f ca="1">_xll.BDP($AY11&amp;" "&amp;$CA11,CF$3)</f>
        <v>#NAME?</v>
      </c>
      <c r="CG11" s="52" t="e">
        <f ca="1">_xll.BDP($AY11&amp;" "&amp;$CA11,CG$3)</f>
        <v>#NAME?</v>
      </c>
      <c r="CH11" s="52" t="e">
        <f ca="1">_xll.BDP($AY11&amp;" "&amp;$CA11,CH$3)</f>
        <v>#NAME?</v>
      </c>
      <c r="CI11" s="52" t="e">
        <f ca="1">_xll.BDP($AY11&amp;" "&amp;$CA11,CI$3)</f>
        <v>#NAME?</v>
      </c>
      <c r="CJ11" s="52" t="e">
        <f ca="1">_xll.BDP($AY11&amp;" "&amp;$CA11,CJ$3)</f>
        <v>#NAME?</v>
      </c>
      <c r="CK11" s="52" t="e">
        <f ca="1">_xll.BDP($AY11&amp;" "&amp;$CA11,CK$3)</f>
        <v>#NAME?</v>
      </c>
      <c r="CL11" s="52" t="e">
        <f ca="1">_xll.BDP($AY11&amp;" "&amp;$CA11,CL$3)</f>
        <v>#NAME?</v>
      </c>
      <c r="CM11" s="52" t="e">
        <f ca="1">_xll.BDP($AY11&amp;" "&amp;$CA11,CM$3)</f>
        <v>#NAME?</v>
      </c>
      <c r="CN11" s="52" t="e">
        <f ca="1">_xll.BDP($AY11&amp;" "&amp;$CA11,CN$3)</f>
        <v>#NAME?</v>
      </c>
      <c r="CO11" s="52" t="e">
        <f ca="1">_xll.BDP($AY11&amp;" "&amp;$CA11,CO$3)</f>
        <v>#NAME?</v>
      </c>
      <c r="CP11" s="52" t="e">
        <f ca="1">_xll.BDP($AY11&amp;" "&amp;$CA11,CP$3)</f>
        <v>#NAME?</v>
      </c>
      <c r="CQ11" s="52" t="e">
        <f ca="1">_xll.BDP($AY11&amp;" "&amp;$CA11,CQ$3)</f>
        <v>#NAME?</v>
      </c>
      <c r="CR11" s="52" t="e">
        <f ca="1">_xll.BDP($AY11&amp;" "&amp;$CA11,CR$3)</f>
        <v>#NAME?</v>
      </c>
      <c r="CS11" s="52" t="e">
        <f ca="1">_xll.BDP($AY11&amp;" "&amp;$CA11,CS$3)</f>
        <v>#NAME?</v>
      </c>
      <c r="CT11" s="52" t="e">
        <f ca="1">_xll.BDP($AY11&amp;" "&amp;$CA11,CT$3)</f>
        <v>#NAME?</v>
      </c>
      <c r="CU11" s="52" t="e">
        <f ca="1">_xll.BDP($CT11&amp;" EQUITY",CU$3)</f>
        <v>#NAME?</v>
      </c>
      <c r="CV11" s="52" t="e">
        <f ca="1">_xll.BDP($CT11&amp;" EQUITY",CV$3)</f>
        <v>#NAME?</v>
      </c>
      <c r="CW11" s="52" t="e">
        <f ca="1">_xll.BDP($CT11&amp;" EQUITY",CW$3)</f>
        <v>#NAME?</v>
      </c>
      <c r="CX11" s="52" t="e">
        <f ca="1">_xll.BDP($CT11&amp;" EQUITY",CX$3)</f>
        <v>#NAME?</v>
      </c>
      <c r="CY11" s="52" t="e">
        <f ca="1">_xll.BDH($CT11&amp;" EQUITY",CY$3,CY$2,CY$2)</f>
        <v>#NAME?</v>
      </c>
      <c r="CZ11" s="52" t="e">
        <f ca="1">_xll.BDH($CT11&amp;" EQUITY",CZ$3,CZ$2,CZ$2)</f>
        <v>#NAME?</v>
      </c>
      <c r="DA11" s="52" t="e">
        <f ca="1">_xll.BDH($CT11&amp;" EQUITY",DA$3,DA$2,DA$2)</f>
        <v>#NAME?</v>
      </c>
      <c r="DB11" s="52" t="e">
        <f ca="1">_xll.BDH($CT11&amp;" EQUITY",DB$3,DB$2,DB$2)</f>
        <v>#NAME?</v>
      </c>
      <c r="DC11" s="52" t="e">
        <f ca="1">_xll.BDH($CT11&amp;" EQUITY",DC$3,DC$2,DC$2)</f>
        <v>#NAME?</v>
      </c>
      <c r="DD11" s="52" t="e">
        <f ca="1">_xll.BDH($CT11&amp;" EQUITY",DD$3,DD$2,DD$2)</f>
        <v>#NAME?</v>
      </c>
      <c r="DE11" s="52" t="e">
        <f ca="1">_xll.BDH($CT11&amp;" EQUITY",DE$3,DE$2,DE$2)</f>
        <v>#NAME?</v>
      </c>
      <c r="DF11" s="52" t="e">
        <f ca="1">_xll.BDH($CT11&amp;" EQUITY",DF$3,DF$2,DF$2)</f>
        <v>#NAME?</v>
      </c>
      <c r="DG11" s="52" t="e">
        <f ca="1">_xll.BDH($CT11&amp;" EQUITY",DG$3,DG$2,DG$2)</f>
        <v>#NAME?</v>
      </c>
      <c r="DH11" s="52" t="e">
        <f ca="1">_xll.BDH($CT11&amp;" EQUITY",DH$3,DH$2,DH$2)</f>
        <v>#NAME?</v>
      </c>
      <c r="DI11" s="52" t="e">
        <f ca="1">_xll.BDH($CT11&amp;" EQUITY",DI$3,DI$2,DI$2)</f>
        <v>#NAME?</v>
      </c>
      <c r="DJ11" s="52" t="e">
        <f ca="1">_xll.BDH($CT11&amp;" EQUITY",DJ$3,DJ$2,DJ$2)</f>
        <v>#NAME?</v>
      </c>
    </row>
    <row r="12" spans="1:114" x14ac:dyDescent="0.25">
      <c r="A12" t="s">
        <v>1519</v>
      </c>
      <c r="D12">
        <v>214777117</v>
      </c>
      <c r="E12" t="s">
        <v>1215</v>
      </c>
      <c r="G12" t="s">
        <v>1251</v>
      </c>
      <c r="H12">
        <v>91017</v>
      </c>
      <c r="I12" t="s">
        <v>1254</v>
      </c>
      <c r="J12" t="s">
        <v>1252</v>
      </c>
      <c r="K12" t="s">
        <v>1404</v>
      </c>
      <c r="L12" t="s">
        <v>1468</v>
      </c>
      <c r="M12" t="s">
        <v>1250</v>
      </c>
      <c r="O12">
        <v>43746</v>
      </c>
      <c r="P12">
        <v>43746</v>
      </c>
      <c r="R12" t="s">
        <v>74</v>
      </c>
      <c r="S12">
        <v>-75000</v>
      </c>
      <c r="T12">
        <v>-75000</v>
      </c>
      <c r="W12">
        <v>-74457</v>
      </c>
      <c r="Y12">
        <v>1</v>
      </c>
      <c r="Z12" t="s">
        <v>75</v>
      </c>
      <c r="AE12" t="s">
        <v>165</v>
      </c>
      <c r="AF12">
        <v>35.845226392295402</v>
      </c>
      <c r="AG12">
        <v>-35.862935632700101</v>
      </c>
      <c r="AH12">
        <v>0</v>
      </c>
      <c r="AI12">
        <v>0</v>
      </c>
      <c r="AJ12">
        <v>-0.85602151519560699</v>
      </c>
      <c r="AK12">
        <v>100</v>
      </c>
      <c r="AL12" t="s">
        <v>1520</v>
      </c>
      <c r="AO12" t="s">
        <v>92</v>
      </c>
      <c r="AP12" t="s">
        <v>93</v>
      </c>
      <c r="AQ12" t="s">
        <v>1521</v>
      </c>
      <c r="AT12">
        <v>-461.48250000000002</v>
      </c>
      <c r="AU12">
        <v>225</v>
      </c>
      <c r="AX12" t="s">
        <v>76</v>
      </c>
      <c r="AY12" t="s">
        <v>1522</v>
      </c>
      <c r="BA12" t="s">
        <v>1253</v>
      </c>
      <c r="BG12">
        <v>500</v>
      </c>
      <c r="BH12">
        <v>505</v>
      </c>
      <c r="BI12" t="s">
        <v>1252</v>
      </c>
      <c r="BJ12" t="s">
        <v>1404</v>
      </c>
      <c r="BK12">
        <v>1</v>
      </c>
      <c r="CA12" t="s">
        <v>1410</v>
      </c>
      <c r="CB12" t="s">
        <v>1174</v>
      </c>
      <c r="CC12" t="s">
        <v>1174</v>
      </c>
      <c r="CD12" s="52" t="e">
        <f ca="1">_xll.BDP($AY12&amp;" "&amp;$CA12,CD$3)</f>
        <v>#NAME?</v>
      </c>
      <c r="CE12" s="52" t="e">
        <f ca="1">_xll.BDP($AY12&amp;" "&amp;$CA12,CE$3)</f>
        <v>#NAME?</v>
      </c>
      <c r="CF12" s="52" t="e">
        <f ca="1">_xll.BDP($AY12&amp;" "&amp;$CA12,CF$3)</f>
        <v>#NAME?</v>
      </c>
      <c r="CG12" s="52" t="e">
        <f ca="1">_xll.BDP($AY12&amp;" "&amp;$CA12,CG$3)</f>
        <v>#NAME?</v>
      </c>
      <c r="CH12" s="52" t="e">
        <f ca="1">_xll.BDP($AY12&amp;" "&amp;$CA12,CH$3)</f>
        <v>#NAME?</v>
      </c>
      <c r="CI12" s="52" t="e">
        <f ca="1">_xll.BDP($AY12&amp;" "&amp;$CA12,CI$3)</f>
        <v>#NAME?</v>
      </c>
      <c r="CJ12" s="52" t="e">
        <f ca="1">_xll.BDP($AY12&amp;" "&amp;$CA12,CJ$3)</f>
        <v>#NAME?</v>
      </c>
      <c r="CK12" s="52" t="e">
        <f ca="1">_xll.BDP($AY12&amp;" "&amp;$CA12,CK$3)</f>
        <v>#NAME?</v>
      </c>
      <c r="CL12" s="52" t="e">
        <f ca="1">_xll.BDP($AY12&amp;" "&amp;$CA12,CL$3)</f>
        <v>#NAME?</v>
      </c>
      <c r="CM12" s="52" t="e">
        <f ca="1">_xll.BDP($AY12&amp;" "&amp;$CA12,CM$3)</f>
        <v>#NAME?</v>
      </c>
      <c r="CN12" s="52" t="e">
        <f ca="1">_xll.BDP($AY12&amp;" "&amp;$CA12,CN$3)</f>
        <v>#NAME?</v>
      </c>
      <c r="CO12" s="52" t="e">
        <f ca="1">_xll.BDP($AY12&amp;" "&amp;$CA12,CO$3)</f>
        <v>#NAME?</v>
      </c>
      <c r="CP12" s="52" t="e">
        <f ca="1">_xll.BDP($AY12&amp;" "&amp;$CA12,CP$3)</f>
        <v>#NAME?</v>
      </c>
      <c r="CQ12" s="52" t="e">
        <f ca="1">_xll.BDP($AY12&amp;" "&amp;$CA12,CQ$3)</f>
        <v>#NAME?</v>
      </c>
      <c r="CR12" s="52" t="e">
        <f ca="1">_xll.BDP($AY12&amp;" "&amp;$CA12,CR$3)</f>
        <v>#NAME?</v>
      </c>
      <c r="CS12" s="52" t="e">
        <f ca="1">_xll.BDP($AY12&amp;" "&amp;$CA12,CS$3)</f>
        <v>#NAME?</v>
      </c>
      <c r="CT12" s="52" t="e">
        <f ca="1">_xll.BDP($AY12&amp;" "&amp;$CA12,CT$3)</f>
        <v>#NAME?</v>
      </c>
      <c r="CU12" s="52" t="e">
        <f ca="1">_xll.BDP($CT12&amp;" EQUITY",CU$3)</f>
        <v>#NAME?</v>
      </c>
      <c r="CV12" s="52" t="e">
        <f ca="1">_xll.BDP($CT12&amp;" EQUITY",CV$3)</f>
        <v>#NAME?</v>
      </c>
      <c r="CW12" s="52" t="e">
        <f ca="1">_xll.BDP($CT12&amp;" EQUITY",CW$3)</f>
        <v>#NAME?</v>
      </c>
      <c r="CX12" s="52" t="e">
        <f ca="1">_xll.BDP($CT12&amp;" EQUITY",CX$3)</f>
        <v>#NAME?</v>
      </c>
      <c r="CY12" s="52" t="e">
        <f ca="1">_xll.BDH($CT12&amp;" EQUITY",CY$3,CY$2,CY$2)</f>
        <v>#NAME?</v>
      </c>
      <c r="CZ12" s="52" t="e">
        <f ca="1">_xll.BDH($CT12&amp;" EQUITY",CZ$3,CZ$2,CZ$2)</f>
        <v>#NAME?</v>
      </c>
      <c r="DA12" s="52" t="e">
        <f ca="1">_xll.BDH($CT12&amp;" EQUITY",DA$3,DA$2,DA$2)</f>
        <v>#NAME?</v>
      </c>
      <c r="DB12" s="52" t="e">
        <f ca="1">_xll.BDH($CT12&amp;" EQUITY",DB$3,DB$2,DB$2)</f>
        <v>#NAME?</v>
      </c>
      <c r="DC12" s="52" t="e">
        <f ca="1">_xll.BDH($CT12&amp;" EQUITY",DC$3,DC$2,DC$2)</f>
        <v>#NAME?</v>
      </c>
      <c r="DD12" s="52" t="e">
        <f ca="1">_xll.BDH($CT12&amp;" EQUITY",DD$3,DD$2,DD$2)</f>
        <v>#NAME?</v>
      </c>
      <c r="DE12" s="52" t="e">
        <f ca="1">_xll.BDH($CT12&amp;" EQUITY",DE$3,DE$2,DE$2)</f>
        <v>#NAME?</v>
      </c>
      <c r="DF12" s="52" t="e">
        <f ca="1">_xll.BDH($CT12&amp;" EQUITY",DF$3,DF$2,DF$2)</f>
        <v>#NAME?</v>
      </c>
      <c r="DG12" s="52" t="e">
        <f ca="1">_xll.BDH($CT12&amp;" EQUITY",DG$3,DG$2,DG$2)</f>
        <v>#NAME?</v>
      </c>
      <c r="DH12" s="52" t="e">
        <f ca="1">_xll.BDH($CT12&amp;" EQUITY",DH$3,DH$2,DH$2)</f>
        <v>#NAME?</v>
      </c>
      <c r="DI12" s="52" t="e">
        <f ca="1">_xll.BDH($CT12&amp;" EQUITY",DI$3,DI$2,DI$2)</f>
        <v>#NAME?</v>
      </c>
      <c r="DJ12" s="52" t="e">
        <f ca="1">_xll.BDH($CT12&amp;" EQUITY",DJ$3,DJ$2,DJ$2)</f>
        <v>#NAME?</v>
      </c>
    </row>
    <row r="13" spans="1:114" x14ac:dyDescent="0.25">
      <c r="A13" t="s">
        <v>1523</v>
      </c>
      <c r="D13">
        <v>214777119</v>
      </c>
      <c r="E13" t="s">
        <v>1215</v>
      </c>
      <c r="G13" t="s">
        <v>1251</v>
      </c>
      <c r="H13">
        <v>91017</v>
      </c>
      <c r="I13" t="s">
        <v>1254</v>
      </c>
      <c r="J13" t="s">
        <v>1252</v>
      </c>
      <c r="K13" t="s">
        <v>1404</v>
      </c>
      <c r="L13" t="s">
        <v>1468</v>
      </c>
      <c r="M13" t="s">
        <v>1250</v>
      </c>
      <c r="O13">
        <v>42468</v>
      </c>
      <c r="P13">
        <v>42468</v>
      </c>
      <c r="R13" t="s">
        <v>74</v>
      </c>
      <c r="S13">
        <v>-150000</v>
      </c>
      <c r="T13">
        <v>-150000</v>
      </c>
      <c r="W13">
        <v>-149535</v>
      </c>
      <c r="Y13">
        <v>1</v>
      </c>
      <c r="Z13" t="s">
        <v>75</v>
      </c>
      <c r="AE13" t="s">
        <v>165</v>
      </c>
      <c r="AF13">
        <v>22.850321743986601</v>
      </c>
      <c r="AG13">
        <v>-22.8538165010104</v>
      </c>
      <c r="AH13">
        <v>0</v>
      </c>
      <c r="AI13">
        <v>0</v>
      </c>
      <c r="AJ13">
        <v>-1.32978437098791</v>
      </c>
      <c r="AK13">
        <v>100</v>
      </c>
      <c r="AL13" t="s">
        <v>1524</v>
      </c>
      <c r="AO13" t="s">
        <v>92</v>
      </c>
      <c r="AP13" t="s">
        <v>93</v>
      </c>
      <c r="AQ13" t="s">
        <v>1525</v>
      </c>
      <c r="AT13">
        <v>-119.5214</v>
      </c>
      <c r="AU13">
        <v>450</v>
      </c>
      <c r="AX13" t="s">
        <v>76</v>
      </c>
      <c r="AY13" t="s">
        <v>1526</v>
      </c>
      <c r="BA13" t="s">
        <v>1253</v>
      </c>
      <c r="BG13">
        <v>500</v>
      </c>
      <c r="BH13">
        <v>505</v>
      </c>
      <c r="BI13" t="s">
        <v>1252</v>
      </c>
      <c r="BJ13" t="s">
        <v>1404</v>
      </c>
      <c r="BK13">
        <v>1</v>
      </c>
      <c r="CA13" t="s">
        <v>1410</v>
      </c>
      <c r="CB13" t="s">
        <v>1174</v>
      </c>
      <c r="CC13" t="s">
        <v>1174</v>
      </c>
      <c r="CD13" s="52" t="e">
        <f ca="1">_xll.BDP($AY13&amp;" "&amp;$CA13,CD$3)</f>
        <v>#NAME?</v>
      </c>
      <c r="CE13" s="52" t="e">
        <f ca="1">_xll.BDP($AY13&amp;" "&amp;$CA13,CE$3)</f>
        <v>#NAME?</v>
      </c>
      <c r="CF13" s="52" t="e">
        <f ca="1">_xll.BDP($AY13&amp;" "&amp;$CA13,CF$3)</f>
        <v>#NAME?</v>
      </c>
      <c r="CG13" s="52" t="e">
        <f ca="1">_xll.BDP($AY13&amp;" "&amp;$CA13,CG$3)</f>
        <v>#NAME?</v>
      </c>
      <c r="CH13" s="52" t="e">
        <f ca="1">_xll.BDP($AY13&amp;" "&amp;$CA13,CH$3)</f>
        <v>#NAME?</v>
      </c>
      <c r="CI13" s="52" t="e">
        <f ca="1">_xll.BDP($AY13&amp;" "&amp;$CA13,CI$3)</f>
        <v>#NAME?</v>
      </c>
      <c r="CJ13" s="52" t="e">
        <f ca="1">_xll.BDP($AY13&amp;" "&amp;$CA13,CJ$3)</f>
        <v>#NAME?</v>
      </c>
      <c r="CK13" s="52" t="e">
        <f ca="1">_xll.BDP($AY13&amp;" "&amp;$CA13,CK$3)</f>
        <v>#NAME?</v>
      </c>
      <c r="CL13" s="52" t="e">
        <f ca="1">_xll.BDP($AY13&amp;" "&amp;$CA13,CL$3)</f>
        <v>#NAME?</v>
      </c>
      <c r="CM13" s="52" t="e">
        <f ca="1">_xll.BDP($AY13&amp;" "&amp;$CA13,CM$3)</f>
        <v>#NAME?</v>
      </c>
      <c r="CN13" s="52" t="e">
        <f ca="1">_xll.BDP($AY13&amp;" "&amp;$CA13,CN$3)</f>
        <v>#NAME?</v>
      </c>
      <c r="CO13" s="52" t="e">
        <f ca="1">_xll.BDP($AY13&amp;" "&amp;$CA13,CO$3)</f>
        <v>#NAME?</v>
      </c>
      <c r="CP13" s="52" t="e">
        <f ca="1">_xll.BDP($AY13&amp;" "&amp;$CA13,CP$3)</f>
        <v>#NAME?</v>
      </c>
      <c r="CQ13" s="52" t="e">
        <f ca="1">_xll.BDP($AY13&amp;" "&amp;$CA13,CQ$3)</f>
        <v>#NAME?</v>
      </c>
      <c r="CR13" s="52" t="e">
        <f ca="1">_xll.BDP($AY13&amp;" "&amp;$CA13,CR$3)</f>
        <v>#NAME?</v>
      </c>
      <c r="CS13" s="52" t="e">
        <f ca="1">_xll.BDP($AY13&amp;" "&amp;$CA13,CS$3)</f>
        <v>#NAME?</v>
      </c>
      <c r="CT13" s="52" t="e">
        <f ca="1">_xll.BDP($AY13&amp;" "&amp;$CA13,CT$3)</f>
        <v>#NAME?</v>
      </c>
      <c r="CU13" s="52" t="e">
        <f ca="1">_xll.BDP($CT13&amp;" EQUITY",CU$3)</f>
        <v>#NAME?</v>
      </c>
      <c r="CV13" s="52" t="e">
        <f ca="1">_xll.BDP($CT13&amp;" EQUITY",CV$3)</f>
        <v>#NAME?</v>
      </c>
      <c r="CW13" s="52" t="e">
        <f ca="1">_xll.BDP($CT13&amp;" EQUITY",CW$3)</f>
        <v>#NAME?</v>
      </c>
      <c r="CX13" s="52" t="e">
        <f ca="1">_xll.BDP($CT13&amp;" EQUITY",CX$3)</f>
        <v>#NAME?</v>
      </c>
      <c r="CY13" s="52" t="e">
        <f ca="1">_xll.BDH($CT13&amp;" EQUITY",CY$3,CY$2,CY$2)</f>
        <v>#NAME?</v>
      </c>
      <c r="CZ13" s="52" t="e">
        <f ca="1">_xll.BDH($CT13&amp;" EQUITY",CZ$3,CZ$2,CZ$2)</f>
        <v>#NAME?</v>
      </c>
      <c r="DA13" s="52" t="e">
        <f ca="1">_xll.BDH($CT13&amp;" EQUITY",DA$3,DA$2,DA$2)</f>
        <v>#NAME?</v>
      </c>
      <c r="DB13" s="52" t="e">
        <f ca="1">_xll.BDH($CT13&amp;" EQUITY",DB$3,DB$2,DB$2)</f>
        <v>#NAME?</v>
      </c>
      <c r="DC13" s="52" t="e">
        <f ca="1">_xll.BDH($CT13&amp;" EQUITY",DC$3,DC$2,DC$2)</f>
        <v>#NAME?</v>
      </c>
      <c r="DD13" s="52" t="e">
        <f ca="1">_xll.BDH($CT13&amp;" EQUITY",DD$3,DD$2,DD$2)</f>
        <v>#NAME?</v>
      </c>
      <c r="DE13" s="52" t="e">
        <f ca="1">_xll.BDH($CT13&amp;" EQUITY",DE$3,DE$2,DE$2)</f>
        <v>#NAME?</v>
      </c>
      <c r="DF13" s="52" t="e">
        <f ca="1">_xll.BDH($CT13&amp;" EQUITY",DF$3,DF$2,DF$2)</f>
        <v>#NAME?</v>
      </c>
      <c r="DG13" s="52" t="e">
        <f ca="1">_xll.BDH($CT13&amp;" EQUITY",DG$3,DG$2,DG$2)</f>
        <v>#NAME?</v>
      </c>
      <c r="DH13" s="52" t="e">
        <f ca="1">_xll.BDH($CT13&amp;" EQUITY",DH$3,DH$2,DH$2)</f>
        <v>#NAME?</v>
      </c>
      <c r="DI13" s="52" t="e">
        <f ca="1">_xll.BDH($CT13&amp;" EQUITY",DI$3,DI$2,DI$2)</f>
        <v>#NAME?</v>
      </c>
      <c r="DJ13" s="52" t="e">
        <f ca="1">_xll.BDH($CT13&amp;" EQUITY",DJ$3,DJ$2,DJ$2)</f>
        <v>#NAME?</v>
      </c>
    </row>
    <row r="14" spans="1:114" x14ac:dyDescent="0.25">
      <c r="A14" t="s">
        <v>1527</v>
      </c>
      <c r="D14">
        <v>214777121</v>
      </c>
      <c r="E14" t="s">
        <v>1215</v>
      </c>
      <c r="G14" t="s">
        <v>1251</v>
      </c>
      <c r="H14">
        <v>91017</v>
      </c>
      <c r="I14" t="s">
        <v>1254</v>
      </c>
      <c r="J14" t="s">
        <v>1252</v>
      </c>
      <c r="K14" t="s">
        <v>1404</v>
      </c>
      <c r="L14" t="s">
        <v>1468</v>
      </c>
      <c r="M14" t="s">
        <v>1250</v>
      </c>
      <c r="O14">
        <v>43018</v>
      </c>
      <c r="P14">
        <v>43018</v>
      </c>
      <c r="R14" t="s">
        <v>74</v>
      </c>
      <c r="S14">
        <v>-62000</v>
      </c>
      <c r="T14">
        <v>-62000</v>
      </c>
      <c r="W14">
        <v>-61725.96</v>
      </c>
      <c r="Y14">
        <v>1</v>
      </c>
      <c r="Z14" t="s">
        <v>75</v>
      </c>
      <c r="AE14" t="s">
        <v>165</v>
      </c>
      <c r="AF14">
        <v>18.4484352065992</v>
      </c>
      <c r="AG14">
        <v>-18.4539946210061</v>
      </c>
      <c r="AH14">
        <v>0</v>
      </c>
      <c r="AI14">
        <v>0</v>
      </c>
      <c r="AJ14">
        <v>-0.57521731390443198</v>
      </c>
      <c r="AK14">
        <v>100</v>
      </c>
      <c r="AL14" t="s">
        <v>1528</v>
      </c>
      <c r="AO14" t="s">
        <v>92</v>
      </c>
      <c r="AP14" t="s">
        <v>93</v>
      </c>
      <c r="AQ14" t="s">
        <v>1529</v>
      </c>
      <c r="AT14">
        <v>-212.1131</v>
      </c>
      <c r="AU14">
        <v>186</v>
      </c>
      <c r="AX14" t="s">
        <v>76</v>
      </c>
      <c r="AY14" t="s">
        <v>1530</v>
      </c>
      <c r="BA14" t="s">
        <v>1253</v>
      </c>
      <c r="BG14">
        <v>500</v>
      </c>
      <c r="BH14">
        <v>505</v>
      </c>
      <c r="BI14" t="s">
        <v>1252</v>
      </c>
      <c r="BJ14" t="s">
        <v>1404</v>
      </c>
      <c r="BK14">
        <v>1</v>
      </c>
      <c r="CA14" t="s">
        <v>1410</v>
      </c>
      <c r="CB14" t="s">
        <v>1174</v>
      </c>
      <c r="CC14" t="s">
        <v>1174</v>
      </c>
      <c r="CD14" s="52" t="e">
        <f ca="1">_xll.BDP($AY14&amp;" "&amp;$CA14,CD$3)</f>
        <v>#NAME?</v>
      </c>
      <c r="CE14" s="52" t="e">
        <f ca="1">_xll.BDP($AY14&amp;" "&amp;$CA14,CE$3)</f>
        <v>#NAME?</v>
      </c>
      <c r="CF14" s="52" t="e">
        <f ca="1">_xll.BDP($AY14&amp;" "&amp;$CA14,CF$3)</f>
        <v>#NAME?</v>
      </c>
      <c r="CG14" s="52" t="e">
        <f ca="1">_xll.BDP($AY14&amp;" "&amp;$CA14,CG$3)</f>
        <v>#NAME?</v>
      </c>
      <c r="CH14" s="52" t="e">
        <f ca="1">_xll.BDP($AY14&amp;" "&amp;$CA14,CH$3)</f>
        <v>#NAME?</v>
      </c>
      <c r="CI14" s="52" t="e">
        <f ca="1">_xll.BDP($AY14&amp;" "&amp;$CA14,CI$3)</f>
        <v>#NAME?</v>
      </c>
      <c r="CJ14" s="52" t="e">
        <f ca="1">_xll.BDP($AY14&amp;" "&amp;$CA14,CJ$3)</f>
        <v>#NAME?</v>
      </c>
      <c r="CK14" s="52" t="e">
        <f ca="1">_xll.BDP($AY14&amp;" "&amp;$CA14,CK$3)</f>
        <v>#NAME?</v>
      </c>
      <c r="CL14" s="52" t="e">
        <f ca="1">_xll.BDP($AY14&amp;" "&amp;$CA14,CL$3)</f>
        <v>#NAME?</v>
      </c>
      <c r="CM14" s="52" t="e">
        <f ca="1">_xll.BDP($AY14&amp;" "&amp;$CA14,CM$3)</f>
        <v>#NAME?</v>
      </c>
      <c r="CN14" s="52" t="e">
        <f ca="1">_xll.BDP($AY14&amp;" "&amp;$CA14,CN$3)</f>
        <v>#NAME?</v>
      </c>
      <c r="CO14" s="52" t="e">
        <f ca="1">_xll.BDP($AY14&amp;" "&amp;$CA14,CO$3)</f>
        <v>#NAME?</v>
      </c>
      <c r="CP14" s="52" t="e">
        <f ca="1">_xll.BDP($AY14&amp;" "&amp;$CA14,CP$3)</f>
        <v>#NAME?</v>
      </c>
      <c r="CQ14" s="52" t="e">
        <f ca="1">_xll.BDP($AY14&amp;" "&amp;$CA14,CQ$3)</f>
        <v>#NAME?</v>
      </c>
      <c r="CR14" s="52" t="e">
        <f ca="1">_xll.BDP($AY14&amp;" "&amp;$CA14,CR$3)</f>
        <v>#NAME?</v>
      </c>
      <c r="CS14" s="52" t="e">
        <f ca="1">_xll.BDP($AY14&amp;" "&amp;$CA14,CS$3)</f>
        <v>#NAME?</v>
      </c>
      <c r="CT14" s="52" t="e">
        <f ca="1">_xll.BDP($AY14&amp;" "&amp;$CA14,CT$3)</f>
        <v>#NAME?</v>
      </c>
      <c r="CU14" s="52" t="e">
        <f ca="1">_xll.BDP($CT14&amp;" EQUITY",CU$3)</f>
        <v>#NAME?</v>
      </c>
      <c r="CV14" s="52" t="e">
        <f ca="1">_xll.BDP($CT14&amp;" EQUITY",CV$3)</f>
        <v>#NAME?</v>
      </c>
      <c r="CW14" s="52" t="e">
        <f ca="1">_xll.BDP($CT14&amp;" EQUITY",CW$3)</f>
        <v>#NAME?</v>
      </c>
      <c r="CX14" s="52" t="e">
        <f ca="1">_xll.BDP($CT14&amp;" EQUITY",CX$3)</f>
        <v>#NAME?</v>
      </c>
      <c r="CY14" s="52" t="e">
        <f ca="1">_xll.BDH($CT14&amp;" EQUITY",CY$3,CY$2,CY$2)</f>
        <v>#NAME?</v>
      </c>
      <c r="CZ14" s="52" t="e">
        <f ca="1">_xll.BDH($CT14&amp;" EQUITY",CZ$3,CZ$2,CZ$2)</f>
        <v>#NAME?</v>
      </c>
      <c r="DA14" s="52" t="e">
        <f ca="1">_xll.BDH($CT14&amp;" EQUITY",DA$3,DA$2,DA$2)</f>
        <v>#NAME?</v>
      </c>
      <c r="DB14" s="52" t="e">
        <f ca="1">_xll.BDH($CT14&amp;" EQUITY",DB$3,DB$2,DB$2)</f>
        <v>#NAME?</v>
      </c>
      <c r="DC14" s="52" t="e">
        <f ca="1">_xll.BDH($CT14&amp;" EQUITY",DC$3,DC$2,DC$2)</f>
        <v>#NAME?</v>
      </c>
      <c r="DD14" s="52" t="e">
        <f ca="1">_xll.BDH($CT14&amp;" EQUITY",DD$3,DD$2,DD$2)</f>
        <v>#NAME?</v>
      </c>
      <c r="DE14" s="52" t="e">
        <f ca="1">_xll.BDH($CT14&amp;" EQUITY",DE$3,DE$2,DE$2)</f>
        <v>#NAME?</v>
      </c>
      <c r="DF14" s="52" t="e">
        <f ca="1">_xll.BDH($CT14&amp;" EQUITY",DF$3,DF$2,DF$2)</f>
        <v>#NAME?</v>
      </c>
      <c r="DG14" s="52" t="e">
        <f ca="1">_xll.BDH($CT14&amp;" EQUITY",DG$3,DG$2,DG$2)</f>
        <v>#NAME?</v>
      </c>
      <c r="DH14" s="52" t="e">
        <f ca="1">_xll.BDH($CT14&amp;" EQUITY",DH$3,DH$2,DH$2)</f>
        <v>#NAME?</v>
      </c>
      <c r="DI14" s="52" t="e">
        <f ca="1">_xll.BDH($CT14&amp;" EQUITY",DI$3,DI$2,DI$2)</f>
        <v>#NAME?</v>
      </c>
      <c r="DJ14" s="52" t="e">
        <f ca="1">_xll.BDH($CT14&amp;" EQUITY",DJ$3,DJ$2,DJ$2)</f>
        <v>#NAME?</v>
      </c>
    </row>
    <row r="15" spans="1:114" x14ac:dyDescent="0.25">
      <c r="A15" t="s">
        <v>1531</v>
      </c>
      <c r="D15">
        <v>214777123</v>
      </c>
      <c r="E15" t="s">
        <v>1215</v>
      </c>
      <c r="G15" t="s">
        <v>1251</v>
      </c>
      <c r="H15">
        <v>91017</v>
      </c>
      <c r="I15" t="s">
        <v>1254</v>
      </c>
      <c r="J15" t="s">
        <v>1252</v>
      </c>
      <c r="K15" t="s">
        <v>1404</v>
      </c>
      <c r="L15" t="s">
        <v>1532</v>
      </c>
      <c r="M15" t="s">
        <v>1250</v>
      </c>
      <c r="O15">
        <v>42464</v>
      </c>
      <c r="P15">
        <v>42464</v>
      </c>
      <c r="R15" t="s">
        <v>74</v>
      </c>
      <c r="S15">
        <v>-150000</v>
      </c>
      <c r="T15">
        <v>-150000</v>
      </c>
      <c r="W15">
        <v>-149544</v>
      </c>
      <c r="Y15">
        <v>1</v>
      </c>
      <c r="Z15" t="s">
        <v>75</v>
      </c>
      <c r="AE15" t="s">
        <v>165</v>
      </c>
      <c r="AF15">
        <v>22.6063114939898</v>
      </c>
      <c r="AG15">
        <v>-22.609731804987</v>
      </c>
      <c r="AH15">
        <v>0</v>
      </c>
      <c r="AI15">
        <v>0</v>
      </c>
      <c r="AJ15">
        <v>-1.38133450399619</v>
      </c>
      <c r="AK15">
        <v>100</v>
      </c>
      <c r="AL15" t="s">
        <v>1533</v>
      </c>
      <c r="AO15" t="s">
        <v>92</v>
      </c>
      <c r="AP15" t="s">
        <v>93</v>
      </c>
      <c r="AQ15" t="s">
        <v>1534</v>
      </c>
      <c r="AT15">
        <v>-116.4522</v>
      </c>
      <c r="AU15">
        <v>450</v>
      </c>
      <c r="AX15" t="s">
        <v>76</v>
      </c>
      <c r="AY15" t="s">
        <v>1535</v>
      </c>
      <c r="BA15" t="s">
        <v>1253</v>
      </c>
      <c r="BG15">
        <v>500</v>
      </c>
      <c r="BH15">
        <v>505</v>
      </c>
      <c r="BI15" t="s">
        <v>1252</v>
      </c>
      <c r="BJ15" t="s">
        <v>1404</v>
      </c>
      <c r="BK15">
        <v>1</v>
      </c>
      <c r="CA15" t="s">
        <v>1410</v>
      </c>
      <c r="CB15" t="s">
        <v>1174</v>
      </c>
      <c r="CC15" t="s">
        <v>1174</v>
      </c>
      <c r="CD15" s="52" t="e">
        <f ca="1">_xll.BDP($AY15&amp;" "&amp;$CA15,CD$3)</f>
        <v>#NAME?</v>
      </c>
      <c r="CE15" s="52" t="e">
        <f ca="1">_xll.BDP($AY15&amp;" "&amp;$CA15,CE$3)</f>
        <v>#NAME?</v>
      </c>
      <c r="CF15" s="52" t="e">
        <f ca="1">_xll.BDP($AY15&amp;" "&amp;$CA15,CF$3)</f>
        <v>#NAME?</v>
      </c>
      <c r="CG15" s="52" t="e">
        <f ca="1">_xll.BDP($AY15&amp;" "&amp;$CA15,CG$3)</f>
        <v>#NAME?</v>
      </c>
      <c r="CH15" s="52" t="e">
        <f ca="1">_xll.BDP($AY15&amp;" "&amp;$CA15,CH$3)</f>
        <v>#NAME?</v>
      </c>
      <c r="CI15" s="52" t="e">
        <f ca="1">_xll.BDP($AY15&amp;" "&amp;$CA15,CI$3)</f>
        <v>#NAME?</v>
      </c>
      <c r="CJ15" s="52" t="e">
        <f ca="1">_xll.BDP($AY15&amp;" "&amp;$CA15,CJ$3)</f>
        <v>#NAME?</v>
      </c>
      <c r="CK15" s="52" t="e">
        <f ca="1">_xll.BDP($AY15&amp;" "&amp;$CA15,CK$3)</f>
        <v>#NAME?</v>
      </c>
      <c r="CL15" s="52" t="e">
        <f ca="1">_xll.BDP($AY15&amp;" "&amp;$CA15,CL$3)</f>
        <v>#NAME?</v>
      </c>
      <c r="CM15" s="52" t="e">
        <f ca="1">_xll.BDP($AY15&amp;" "&amp;$CA15,CM$3)</f>
        <v>#NAME?</v>
      </c>
      <c r="CN15" s="52" t="e">
        <f ca="1">_xll.BDP($AY15&amp;" "&amp;$CA15,CN$3)</f>
        <v>#NAME?</v>
      </c>
      <c r="CO15" s="52" t="e">
        <f ca="1">_xll.BDP($AY15&amp;" "&amp;$CA15,CO$3)</f>
        <v>#NAME?</v>
      </c>
      <c r="CP15" s="52" t="e">
        <f ca="1">_xll.BDP($AY15&amp;" "&amp;$CA15,CP$3)</f>
        <v>#NAME?</v>
      </c>
      <c r="CQ15" s="52" t="e">
        <f ca="1">_xll.BDP($AY15&amp;" "&amp;$CA15,CQ$3)</f>
        <v>#NAME?</v>
      </c>
      <c r="CR15" s="52" t="e">
        <f ca="1">_xll.BDP($AY15&amp;" "&amp;$CA15,CR$3)</f>
        <v>#NAME?</v>
      </c>
      <c r="CS15" s="52" t="e">
        <f ca="1">_xll.BDP($AY15&amp;" "&amp;$CA15,CS$3)</f>
        <v>#NAME?</v>
      </c>
      <c r="CT15" s="52" t="e">
        <f ca="1">_xll.BDP($AY15&amp;" "&amp;$CA15,CT$3)</f>
        <v>#NAME?</v>
      </c>
      <c r="CU15" s="52" t="e">
        <f ca="1">_xll.BDP($CT15&amp;" EQUITY",CU$3)</f>
        <v>#NAME?</v>
      </c>
      <c r="CV15" s="52" t="e">
        <f ca="1">_xll.BDP($CT15&amp;" EQUITY",CV$3)</f>
        <v>#NAME?</v>
      </c>
      <c r="CW15" s="52" t="e">
        <f ca="1">_xll.BDP($CT15&amp;" EQUITY",CW$3)</f>
        <v>#NAME?</v>
      </c>
      <c r="CX15" s="52" t="e">
        <f ca="1">_xll.BDP($CT15&amp;" EQUITY",CX$3)</f>
        <v>#NAME?</v>
      </c>
      <c r="CY15" s="52" t="e">
        <f ca="1">_xll.BDH($CT15&amp;" EQUITY",CY$3,CY$2,CY$2)</f>
        <v>#NAME?</v>
      </c>
      <c r="CZ15" s="52" t="e">
        <f ca="1">_xll.BDH($CT15&amp;" EQUITY",CZ$3,CZ$2,CZ$2)</f>
        <v>#NAME?</v>
      </c>
      <c r="DA15" s="52" t="e">
        <f ca="1">_xll.BDH($CT15&amp;" EQUITY",DA$3,DA$2,DA$2)</f>
        <v>#NAME?</v>
      </c>
      <c r="DB15" s="52" t="e">
        <f ca="1">_xll.BDH($CT15&amp;" EQUITY",DB$3,DB$2,DB$2)</f>
        <v>#NAME?</v>
      </c>
      <c r="DC15" s="52" t="e">
        <f ca="1">_xll.BDH($CT15&amp;" EQUITY",DC$3,DC$2,DC$2)</f>
        <v>#NAME?</v>
      </c>
      <c r="DD15" s="52" t="e">
        <f ca="1">_xll.BDH($CT15&amp;" EQUITY",DD$3,DD$2,DD$2)</f>
        <v>#NAME?</v>
      </c>
      <c r="DE15" s="52" t="e">
        <f ca="1">_xll.BDH($CT15&amp;" EQUITY",DE$3,DE$2,DE$2)</f>
        <v>#NAME?</v>
      </c>
      <c r="DF15" s="52" t="e">
        <f ca="1">_xll.BDH($CT15&amp;" EQUITY",DF$3,DF$2,DF$2)</f>
        <v>#NAME?</v>
      </c>
      <c r="DG15" s="52" t="e">
        <f ca="1">_xll.BDH($CT15&amp;" EQUITY",DG$3,DG$2,DG$2)</f>
        <v>#NAME?</v>
      </c>
      <c r="DH15" s="52" t="e">
        <f ca="1">_xll.BDH($CT15&amp;" EQUITY",DH$3,DH$2,DH$2)</f>
        <v>#NAME?</v>
      </c>
      <c r="DI15" s="52" t="e">
        <f ca="1">_xll.BDH($CT15&amp;" EQUITY",DI$3,DI$2,DI$2)</f>
        <v>#NAME?</v>
      </c>
      <c r="DJ15" s="52" t="e">
        <f ca="1">_xll.BDH($CT15&amp;" EQUITY",DJ$3,DJ$2,DJ$2)</f>
        <v>#NAME?</v>
      </c>
    </row>
    <row r="16" spans="1:114" x14ac:dyDescent="0.25">
      <c r="A16" t="s">
        <v>1536</v>
      </c>
      <c r="D16">
        <v>214777124</v>
      </c>
      <c r="E16" t="s">
        <v>1215</v>
      </c>
      <c r="G16" t="s">
        <v>1251</v>
      </c>
      <c r="H16">
        <v>91017</v>
      </c>
      <c r="I16" t="s">
        <v>1254</v>
      </c>
      <c r="J16" t="s">
        <v>1252</v>
      </c>
      <c r="K16" t="s">
        <v>1404</v>
      </c>
      <c r="L16" t="s">
        <v>1537</v>
      </c>
      <c r="M16" t="s">
        <v>1250</v>
      </c>
      <c r="O16">
        <v>42585</v>
      </c>
      <c r="P16">
        <v>42585</v>
      </c>
      <c r="R16" t="s">
        <v>74</v>
      </c>
      <c r="S16">
        <v>-142000</v>
      </c>
      <c r="T16">
        <v>-142000</v>
      </c>
      <c r="W16">
        <v>-140882.46</v>
      </c>
      <c r="Y16">
        <v>1</v>
      </c>
      <c r="Z16" t="s">
        <v>75</v>
      </c>
      <c r="AE16" t="s">
        <v>165</v>
      </c>
      <c r="AF16">
        <v>25.894659815996398</v>
      </c>
      <c r="AG16">
        <v>-25.899429942015601</v>
      </c>
      <c r="AH16">
        <v>0</v>
      </c>
      <c r="AI16">
        <v>0</v>
      </c>
      <c r="AJ16">
        <v>-2.89612952800235</v>
      </c>
      <c r="AK16">
        <v>100</v>
      </c>
      <c r="AL16" t="s">
        <v>1538</v>
      </c>
      <c r="AO16" t="s">
        <v>92</v>
      </c>
      <c r="AP16" t="s">
        <v>93</v>
      </c>
      <c r="AQ16" t="s">
        <v>1539</v>
      </c>
      <c r="AT16">
        <v>-167.3613</v>
      </c>
      <c r="AU16">
        <v>426</v>
      </c>
      <c r="AX16" t="s">
        <v>76</v>
      </c>
      <c r="AY16" t="s">
        <v>1540</v>
      </c>
      <c r="BA16" t="s">
        <v>1253</v>
      </c>
      <c r="BG16">
        <v>500</v>
      </c>
      <c r="BH16">
        <v>505</v>
      </c>
      <c r="BI16" t="s">
        <v>1252</v>
      </c>
      <c r="BJ16" t="s">
        <v>1404</v>
      </c>
      <c r="BK16">
        <v>1</v>
      </c>
      <c r="CA16" t="s">
        <v>1410</v>
      </c>
      <c r="CB16" t="s">
        <v>1174</v>
      </c>
      <c r="CC16" t="s">
        <v>1174</v>
      </c>
      <c r="CD16" s="52" t="e">
        <f ca="1">_xll.BDP($AY16&amp;" "&amp;$CA16,CD$3)</f>
        <v>#NAME?</v>
      </c>
      <c r="CE16" s="52" t="e">
        <f ca="1">_xll.BDP($AY16&amp;" "&amp;$CA16,CE$3)</f>
        <v>#NAME?</v>
      </c>
      <c r="CF16" s="52" t="e">
        <f ca="1">_xll.BDP($AY16&amp;" "&amp;$CA16,CF$3)</f>
        <v>#NAME?</v>
      </c>
      <c r="CG16" s="52" t="e">
        <f ca="1">_xll.BDP($AY16&amp;" "&amp;$CA16,CG$3)</f>
        <v>#NAME?</v>
      </c>
      <c r="CH16" s="52" t="e">
        <f ca="1">_xll.BDP($AY16&amp;" "&amp;$CA16,CH$3)</f>
        <v>#NAME?</v>
      </c>
      <c r="CI16" s="52" t="e">
        <f ca="1">_xll.BDP($AY16&amp;" "&amp;$CA16,CI$3)</f>
        <v>#NAME?</v>
      </c>
      <c r="CJ16" s="52" t="e">
        <f ca="1">_xll.BDP($AY16&amp;" "&amp;$CA16,CJ$3)</f>
        <v>#NAME?</v>
      </c>
      <c r="CK16" s="52" t="e">
        <f ca="1">_xll.BDP($AY16&amp;" "&amp;$CA16,CK$3)</f>
        <v>#NAME?</v>
      </c>
      <c r="CL16" s="52" t="e">
        <f ca="1">_xll.BDP($AY16&amp;" "&amp;$CA16,CL$3)</f>
        <v>#NAME?</v>
      </c>
      <c r="CM16" s="52" t="e">
        <f ca="1">_xll.BDP($AY16&amp;" "&amp;$CA16,CM$3)</f>
        <v>#NAME?</v>
      </c>
      <c r="CN16" s="52" t="e">
        <f ca="1">_xll.BDP($AY16&amp;" "&amp;$CA16,CN$3)</f>
        <v>#NAME?</v>
      </c>
      <c r="CO16" s="52" t="e">
        <f ca="1">_xll.BDP($AY16&amp;" "&amp;$CA16,CO$3)</f>
        <v>#NAME?</v>
      </c>
      <c r="CP16" s="52" t="e">
        <f ca="1">_xll.BDP($AY16&amp;" "&amp;$CA16,CP$3)</f>
        <v>#NAME?</v>
      </c>
      <c r="CQ16" s="52" t="e">
        <f ca="1">_xll.BDP($AY16&amp;" "&amp;$CA16,CQ$3)</f>
        <v>#NAME?</v>
      </c>
      <c r="CR16" s="52" t="e">
        <f ca="1">_xll.BDP($AY16&amp;" "&amp;$CA16,CR$3)</f>
        <v>#NAME?</v>
      </c>
      <c r="CS16" s="52" t="e">
        <f ca="1">_xll.BDP($AY16&amp;" "&amp;$CA16,CS$3)</f>
        <v>#NAME?</v>
      </c>
      <c r="CT16" s="52" t="e">
        <f ca="1">_xll.BDP($AY16&amp;" "&amp;$CA16,CT$3)</f>
        <v>#NAME?</v>
      </c>
      <c r="CU16" s="52" t="e">
        <f ca="1">_xll.BDP($CT16&amp;" EQUITY",CU$3)</f>
        <v>#NAME?</v>
      </c>
      <c r="CV16" s="52" t="e">
        <f ca="1">_xll.BDP($CT16&amp;" EQUITY",CV$3)</f>
        <v>#NAME?</v>
      </c>
      <c r="CW16" s="52" t="e">
        <f ca="1">_xll.BDP($CT16&amp;" EQUITY",CW$3)</f>
        <v>#NAME?</v>
      </c>
      <c r="CX16" s="52" t="e">
        <f ca="1">_xll.BDP($CT16&amp;" EQUITY",CX$3)</f>
        <v>#NAME?</v>
      </c>
      <c r="CY16" s="52" t="e">
        <f ca="1">_xll.BDH($CT16&amp;" EQUITY",CY$3,CY$2,CY$2)</f>
        <v>#NAME?</v>
      </c>
      <c r="CZ16" s="52" t="e">
        <f ca="1">_xll.BDH($CT16&amp;" EQUITY",CZ$3,CZ$2,CZ$2)</f>
        <v>#NAME?</v>
      </c>
      <c r="DA16" s="52" t="e">
        <f ca="1">_xll.BDH($CT16&amp;" EQUITY",DA$3,DA$2,DA$2)</f>
        <v>#NAME?</v>
      </c>
      <c r="DB16" s="52" t="e">
        <f ca="1">_xll.BDH($CT16&amp;" EQUITY",DB$3,DB$2,DB$2)</f>
        <v>#NAME?</v>
      </c>
      <c r="DC16" s="52" t="e">
        <f ca="1">_xll.BDH($CT16&amp;" EQUITY",DC$3,DC$2,DC$2)</f>
        <v>#NAME?</v>
      </c>
      <c r="DD16" s="52" t="e">
        <f ca="1">_xll.BDH($CT16&amp;" EQUITY",DD$3,DD$2,DD$2)</f>
        <v>#NAME?</v>
      </c>
      <c r="DE16" s="52" t="e">
        <f ca="1">_xll.BDH($CT16&amp;" EQUITY",DE$3,DE$2,DE$2)</f>
        <v>#NAME?</v>
      </c>
      <c r="DF16" s="52" t="e">
        <f ca="1">_xll.BDH($CT16&amp;" EQUITY",DF$3,DF$2,DF$2)</f>
        <v>#NAME?</v>
      </c>
      <c r="DG16" s="52" t="e">
        <f ca="1">_xll.BDH($CT16&amp;" EQUITY",DG$3,DG$2,DG$2)</f>
        <v>#NAME?</v>
      </c>
      <c r="DH16" s="52" t="e">
        <f ca="1">_xll.BDH($CT16&amp;" EQUITY",DH$3,DH$2,DH$2)</f>
        <v>#NAME?</v>
      </c>
      <c r="DI16" s="52" t="e">
        <f ca="1">_xll.BDH($CT16&amp;" EQUITY",DI$3,DI$2,DI$2)</f>
        <v>#NAME?</v>
      </c>
      <c r="DJ16" s="52" t="e">
        <f ca="1">_xll.BDH($CT16&amp;" EQUITY",DJ$3,DJ$2,DJ$2)</f>
        <v>#NAME?</v>
      </c>
    </row>
    <row r="17" spans="1:114" x14ac:dyDescent="0.25">
      <c r="A17" t="s">
        <v>1541</v>
      </c>
      <c r="D17">
        <v>214777125</v>
      </c>
      <c r="E17" t="s">
        <v>1215</v>
      </c>
      <c r="G17" t="s">
        <v>1251</v>
      </c>
      <c r="H17">
        <v>91017</v>
      </c>
      <c r="I17" t="s">
        <v>1254</v>
      </c>
      <c r="J17" t="s">
        <v>1252</v>
      </c>
      <c r="K17" t="s">
        <v>1404</v>
      </c>
      <c r="L17" t="s">
        <v>1537</v>
      </c>
      <c r="M17" t="s">
        <v>1250</v>
      </c>
      <c r="O17">
        <v>42828</v>
      </c>
      <c r="P17">
        <v>42828</v>
      </c>
      <c r="R17" t="s">
        <v>74</v>
      </c>
      <c r="S17">
        <v>-50000</v>
      </c>
      <c r="T17">
        <v>-50000</v>
      </c>
      <c r="W17">
        <v>-49629.5</v>
      </c>
      <c r="Y17">
        <v>1</v>
      </c>
      <c r="Z17" t="s">
        <v>75</v>
      </c>
      <c r="AE17" t="s">
        <v>165</v>
      </c>
      <c r="AF17">
        <v>12.3527551596999</v>
      </c>
      <c r="AG17">
        <v>-12.3558445821036</v>
      </c>
      <c r="AH17">
        <v>0</v>
      </c>
      <c r="AI17">
        <v>0</v>
      </c>
      <c r="AJ17">
        <v>-0.59977654230169697</v>
      </c>
      <c r="AK17">
        <v>100</v>
      </c>
      <c r="AL17" t="s">
        <v>1542</v>
      </c>
      <c r="AO17" t="s">
        <v>92</v>
      </c>
      <c r="AP17" t="s">
        <v>93</v>
      </c>
      <c r="AQ17" t="s">
        <v>1543</v>
      </c>
      <c r="AT17">
        <v>-119.9525</v>
      </c>
      <c r="AU17">
        <v>150</v>
      </c>
      <c r="AX17" t="s">
        <v>76</v>
      </c>
      <c r="AY17" t="s">
        <v>1544</v>
      </c>
      <c r="BA17" t="s">
        <v>1253</v>
      </c>
      <c r="BG17">
        <v>500</v>
      </c>
      <c r="BH17">
        <v>505</v>
      </c>
      <c r="BI17" t="s">
        <v>1252</v>
      </c>
      <c r="BJ17" t="s">
        <v>1404</v>
      </c>
      <c r="BK17">
        <v>1</v>
      </c>
      <c r="CA17" t="s">
        <v>1410</v>
      </c>
      <c r="CB17" t="s">
        <v>1174</v>
      </c>
      <c r="CC17" t="s">
        <v>1174</v>
      </c>
      <c r="CD17" s="52" t="e">
        <f ca="1">_xll.BDP($AY17&amp;" "&amp;$CA17,CD$3)</f>
        <v>#NAME?</v>
      </c>
      <c r="CE17" s="52" t="e">
        <f ca="1">_xll.BDP($AY17&amp;" "&amp;$CA17,CE$3)</f>
        <v>#NAME?</v>
      </c>
      <c r="CF17" s="52" t="e">
        <f ca="1">_xll.BDP($AY17&amp;" "&amp;$CA17,CF$3)</f>
        <v>#NAME?</v>
      </c>
      <c r="CG17" s="52" t="e">
        <f ca="1">_xll.BDP($AY17&amp;" "&amp;$CA17,CG$3)</f>
        <v>#NAME?</v>
      </c>
      <c r="CH17" s="52" t="e">
        <f ca="1">_xll.BDP($AY17&amp;" "&amp;$CA17,CH$3)</f>
        <v>#NAME?</v>
      </c>
      <c r="CI17" s="52" t="e">
        <f ca="1">_xll.BDP($AY17&amp;" "&amp;$CA17,CI$3)</f>
        <v>#NAME?</v>
      </c>
      <c r="CJ17" s="52" t="e">
        <f ca="1">_xll.BDP($AY17&amp;" "&amp;$CA17,CJ$3)</f>
        <v>#NAME?</v>
      </c>
      <c r="CK17" s="52" t="e">
        <f ca="1">_xll.BDP($AY17&amp;" "&amp;$CA17,CK$3)</f>
        <v>#NAME?</v>
      </c>
      <c r="CL17" s="52" t="e">
        <f ca="1">_xll.BDP($AY17&amp;" "&amp;$CA17,CL$3)</f>
        <v>#NAME?</v>
      </c>
      <c r="CM17" s="52" t="e">
        <f ca="1">_xll.BDP($AY17&amp;" "&amp;$CA17,CM$3)</f>
        <v>#NAME?</v>
      </c>
      <c r="CN17" s="52" t="e">
        <f ca="1">_xll.BDP($AY17&amp;" "&amp;$CA17,CN$3)</f>
        <v>#NAME?</v>
      </c>
      <c r="CO17" s="52" t="e">
        <f ca="1">_xll.BDP($AY17&amp;" "&amp;$CA17,CO$3)</f>
        <v>#NAME?</v>
      </c>
      <c r="CP17" s="52" t="e">
        <f ca="1">_xll.BDP($AY17&amp;" "&amp;$CA17,CP$3)</f>
        <v>#NAME?</v>
      </c>
      <c r="CQ17" s="52" t="e">
        <f ca="1">_xll.BDP($AY17&amp;" "&amp;$CA17,CQ$3)</f>
        <v>#NAME?</v>
      </c>
      <c r="CR17" s="52" t="e">
        <f ca="1">_xll.BDP($AY17&amp;" "&amp;$CA17,CR$3)</f>
        <v>#NAME?</v>
      </c>
      <c r="CS17" s="52" t="e">
        <f ca="1">_xll.BDP($AY17&amp;" "&amp;$CA17,CS$3)</f>
        <v>#NAME?</v>
      </c>
      <c r="CT17" s="52" t="e">
        <f ca="1">_xll.BDP($AY17&amp;" "&amp;$CA17,CT$3)</f>
        <v>#NAME?</v>
      </c>
      <c r="CU17" s="52" t="e">
        <f ca="1">_xll.BDP($CT17&amp;" EQUITY",CU$3)</f>
        <v>#NAME?</v>
      </c>
      <c r="CV17" s="52" t="e">
        <f ca="1">_xll.BDP($CT17&amp;" EQUITY",CV$3)</f>
        <v>#NAME?</v>
      </c>
      <c r="CW17" s="52" t="e">
        <f ca="1">_xll.BDP($CT17&amp;" EQUITY",CW$3)</f>
        <v>#NAME?</v>
      </c>
      <c r="CX17" s="52" t="e">
        <f ca="1">_xll.BDP($CT17&amp;" EQUITY",CX$3)</f>
        <v>#NAME?</v>
      </c>
      <c r="CY17" s="52" t="e">
        <f ca="1">_xll.BDH($CT17&amp;" EQUITY",CY$3,CY$2,CY$2)</f>
        <v>#NAME?</v>
      </c>
      <c r="CZ17" s="52" t="e">
        <f ca="1">_xll.BDH($CT17&amp;" EQUITY",CZ$3,CZ$2,CZ$2)</f>
        <v>#NAME?</v>
      </c>
      <c r="DA17" s="52" t="e">
        <f ca="1">_xll.BDH($CT17&amp;" EQUITY",DA$3,DA$2,DA$2)</f>
        <v>#NAME?</v>
      </c>
      <c r="DB17" s="52" t="e">
        <f ca="1">_xll.BDH($CT17&amp;" EQUITY",DB$3,DB$2,DB$2)</f>
        <v>#NAME?</v>
      </c>
      <c r="DC17" s="52" t="e">
        <f ca="1">_xll.BDH($CT17&amp;" EQUITY",DC$3,DC$2,DC$2)</f>
        <v>#NAME?</v>
      </c>
      <c r="DD17" s="52" t="e">
        <f ca="1">_xll.BDH($CT17&amp;" EQUITY",DD$3,DD$2,DD$2)</f>
        <v>#NAME?</v>
      </c>
      <c r="DE17" s="52" t="e">
        <f ca="1">_xll.BDH($CT17&amp;" EQUITY",DE$3,DE$2,DE$2)</f>
        <v>#NAME?</v>
      </c>
      <c r="DF17" s="52" t="e">
        <f ca="1">_xll.BDH($CT17&amp;" EQUITY",DF$3,DF$2,DF$2)</f>
        <v>#NAME?</v>
      </c>
      <c r="DG17" s="52" t="e">
        <f ca="1">_xll.BDH($CT17&amp;" EQUITY",DG$3,DG$2,DG$2)</f>
        <v>#NAME?</v>
      </c>
      <c r="DH17" s="52" t="e">
        <f ca="1">_xll.BDH($CT17&amp;" EQUITY",DH$3,DH$2,DH$2)</f>
        <v>#NAME?</v>
      </c>
      <c r="DI17" s="52" t="e">
        <f ca="1">_xll.BDH($CT17&amp;" EQUITY",DI$3,DI$2,DI$2)</f>
        <v>#NAME?</v>
      </c>
      <c r="DJ17" s="52" t="e">
        <f ca="1">_xll.BDH($CT17&amp;" EQUITY",DJ$3,DJ$2,DJ$2)</f>
        <v>#NAME?</v>
      </c>
    </row>
    <row r="18" spans="1:114" x14ac:dyDescent="0.25">
      <c r="A18" t="s">
        <v>1545</v>
      </c>
      <c r="D18">
        <v>214777126</v>
      </c>
      <c r="E18" t="s">
        <v>1215</v>
      </c>
      <c r="G18" t="s">
        <v>1251</v>
      </c>
      <c r="H18">
        <v>91017</v>
      </c>
      <c r="I18" t="s">
        <v>1254</v>
      </c>
      <c r="J18" t="s">
        <v>1252</v>
      </c>
      <c r="K18" t="s">
        <v>1404</v>
      </c>
      <c r="L18" t="s">
        <v>1537</v>
      </c>
      <c r="M18" t="s">
        <v>1250</v>
      </c>
      <c r="O18">
        <v>43011</v>
      </c>
      <c r="P18">
        <v>43011</v>
      </c>
      <c r="R18" t="s">
        <v>74</v>
      </c>
      <c r="S18">
        <v>-142000</v>
      </c>
      <c r="T18">
        <v>-142000</v>
      </c>
      <c r="W18">
        <v>-140828.5</v>
      </c>
      <c r="Y18">
        <v>1</v>
      </c>
      <c r="Z18" t="s">
        <v>75</v>
      </c>
      <c r="AE18" t="s">
        <v>165</v>
      </c>
      <c r="AF18">
        <v>41.821772025024998</v>
      </c>
      <c r="AG18">
        <v>-41.8342954379914</v>
      </c>
      <c r="AH18">
        <v>0</v>
      </c>
      <c r="AI18">
        <v>0</v>
      </c>
      <c r="AJ18">
        <v>-1.87566595099634</v>
      </c>
      <c r="AK18">
        <v>100</v>
      </c>
      <c r="AL18" t="s">
        <v>1546</v>
      </c>
      <c r="AO18" t="s">
        <v>92</v>
      </c>
      <c r="AP18" t="s">
        <v>93</v>
      </c>
      <c r="AQ18" t="s">
        <v>1547</v>
      </c>
      <c r="AT18">
        <v>-478.71100000000001</v>
      </c>
      <c r="AU18">
        <v>426</v>
      </c>
      <c r="AX18" t="s">
        <v>76</v>
      </c>
      <c r="AY18" t="s">
        <v>1548</v>
      </c>
      <c r="BA18" t="s">
        <v>1253</v>
      </c>
      <c r="BG18">
        <v>500</v>
      </c>
      <c r="BH18">
        <v>505</v>
      </c>
      <c r="BI18" t="s">
        <v>1252</v>
      </c>
      <c r="BJ18" t="s">
        <v>1404</v>
      </c>
      <c r="BK18">
        <v>1</v>
      </c>
      <c r="CA18" t="s">
        <v>1410</v>
      </c>
      <c r="CB18" t="s">
        <v>1174</v>
      </c>
      <c r="CC18" t="s">
        <v>1174</v>
      </c>
      <c r="CD18" s="52" t="e">
        <f ca="1">_xll.BDP($AY18&amp;" "&amp;$CA18,CD$3)</f>
        <v>#NAME?</v>
      </c>
      <c r="CE18" s="52" t="e">
        <f ca="1">_xll.BDP($AY18&amp;" "&amp;$CA18,CE$3)</f>
        <v>#NAME?</v>
      </c>
      <c r="CF18" s="52" t="e">
        <f ca="1">_xll.BDP($AY18&amp;" "&amp;$CA18,CF$3)</f>
        <v>#NAME?</v>
      </c>
      <c r="CG18" s="52" t="e">
        <f ca="1">_xll.BDP($AY18&amp;" "&amp;$CA18,CG$3)</f>
        <v>#NAME?</v>
      </c>
      <c r="CH18" s="52" t="e">
        <f ca="1">_xll.BDP($AY18&amp;" "&amp;$CA18,CH$3)</f>
        <v>#NAME?</v>
      </c>
      <c r="CI18" s="52" t="e">
        <f ca="1">_xll.BDP($AY18&amp;" "&amp;$CA18,CI$3)</f>
        <v>#NAME?</v>
      </c>
      <c r="CJ18" s="52" t="e">
        <f ca="1">_xll.BDP($AY18&amp;" "&amp;$CA18,CJ$3)</f>
        <v>#NAME?</v>
      </c>
      <c r="CK18" s="52" t="e">
        <f ca="1">_xll.BDP($AY18&amp;" "&amp;$CA18,CK$3)</f>
        <v>#NAME?</v>
      </c>
      <c r="CL18" s="52" t="e">
        <f ca="1">_xll.BDP($AY18&amp;" "&amp;$CA18,CL$3)</f>
        <v>#NAME?</v>
      </c>
      <c r="CM18" s="52" t="e">
        <f ca="1">_xll.BDP($AY18&amp;" "&amp;$CA18,CM$3)</f>
        <v>#NAME?</v>
      </c>
      <c r="CN18" s="52" t="e">
        <f ca="1">_xll.BDP($AY18&amp;" "&amp;$CA18,CN$3)</f>
        <v>#NAME?</v>
      </c>
      <c r="CO18" s="52" t="e">
        <f ca="1">_xll.BDP($AY18&amp;" "&amp;$CA18,CO$3)</f>
        <v>#NAME?</v>
      </c>
      <c r="CP18" s="52" t="e">
        <f ca="1">_xll.BDP($AY18&amp;" "&amp;$CA18,CP$3)</f>
        <v>#NAME?</v>
      </c>
      <c r="CQ18" s="52" t="e">
        <f ca="1">_xll.BDP($AY18&amp;" "&amp;$CA18,CQ$3)</f>
        <v>#NAME?</v>
      </c>
      <c r="CR18" s="52" t="e">
        <f ca="1">_xll.BDP($AY18&amp;" "&amp;$CA18,CR$3)</f>
        <v>#NAME?</v>
      </c>
      <c r="CS18" s="52" t="e">
        <f ca="1">_xll.BDP($AY18&amp;" "&amp;$CA18,CS$3)</f>
        <v>#NAME?</v>
      </c>
      <c r="CT18" s="52" t="e">
        <f ca="1">_xll.BDP($AY18&amp;" "&amp;$CA18,CT$3)</f>
        <v>#NAME?</v>
      </c>
      <c r="CU18" s="52" t="e">
        <f ca="1">_xll.BDP($CT18&amp;" EQUITY",CU$3)</f>
        <v>#NAME?</v>
      </c>
      <c r="CV18" s="52" t="e">
        <f ca="1">_xll.BDP($CT18&amp;" EQUITY",CV$3)</f>
        <v>#NAME?</v>
      </c>
      <c r="CW18" s="52" t="e">
        <f ca="1">_xll.BDP($CT18&amp;" EQUITY",CW$3)</f>
        <v>#NAME?</v>
      </c>
      <c r="CX18" s="52" t="e">
        <f ca="1">_xll.BDP($CT18&amp;" EQUITY",CX$3)</f>
        <v>#NAME?</v>
      </c>
      <c r="CY18" s="52" t="e">
        <f ca="1">_xll.BDH($CT18&amp;" EQUITY",CY$3,CY$2,CY$2)</f>
        <v>#NAME?</v>
      </c>
      <c r="CZ18" s="52" t="e">
        <f ca="1">_xll.BDH($CT18&amp;" EQUITY",CZ$3,CZ$2,CZ$2)</f>
        <v>#NAME?</v>
      </c>
      <c r="DA18" s="52" t="e">
        <f ca="1">_xll.BDH($CT18&amp;" EQUITY",DA$3,DA$2,DA$2)</f>
        <v>#NAME?</v>
      </c>
      <c r="DB18" s="52" t="e">
        <f ca="1">_xll.BDH($CT18&amp;" EQUITY",DB$3,DB$2,DB$2)</f>
        <v>#NAME?</v>
      </c>
      <c r="DC18" s="52" t="e">
        <f ca="1">_xll.BDH($CT18&amp;" EQUITY",DC$3,DC$2,DC$2)</f>
        <v>#NAME?</v>
      </c>
      <c r="DD18" s="52" t="e">
        <f ca="1">_xll.BDH($CT18&amp;" EQUITY",DD$3,DD$2,DD$2)</f>
        <v>#NAME?</v>
      </c>
      <c r="DE18" s="52" t="e">
        <f ca="1">_xll.BDH($CT18&amp;" EQUITY",DE$3,DE$2,DE$2)</f>
        <v>#NAME?</v>
      </c>
      <c r="DF18" s="52" t="e">
        <f ca="1">_xll.BDH($CT18&amp;" EQUITY",DF$3,DF$2,DF$2)</f>
        <v>#NAME?</v>
      </c>
      <c r="DG18" s="52" t="e">
        <f ca="1">_xll.BDH($CT18&amp;" EQUITY",DG$3,DG$2,DG$2)</f>
        <v>#NAME?</v>
      </c>
      <c r="DH18" s="52" t="e">
        <f ca="1">_xll.BDH($CT18&amp;" EQUITY",DH$3,DH$2,DH$2)</f>
        <v>#NAME?</v>
      </c>
      <c r="DI18" s="52" t="e">
        <f ca="1">_xll.BDH($CT18&amp;" EQUITY",DI$3,DI$2,DI$2)</f>
        <v>#NAME?</v>
      </c>
      <c r="DJ18" s="52" t="e">
        <f ca="1">_xll.BDH($CT18&amp;" EQUITY",DJ$3,DJ$2,DJ$2)</f>
        <v>#NAME?</v>
      </c>
    </row>
    <row r="19" spans="1:114" x14ac:dyDescent="0.25">
      <c r="A19" t="s">
        <v>1549</v>
      </c>
      <c r="D19">
        <v>214777127</v>
      </c>
      <c r="E19" t="s">
        <v>1215</v>
      </c>
      <c r="G19" t="s">
        <v>1251</v>
      </c>
      <c r="H19">
        <v>91017</v>
      </c>
      <c r="I19" t="s">
        <v>1254</v>
      </c>
      <c r="J19" t="s">
        <v>1252</v>
      </c>
      <c r="K19" t="s">
        <v>1404</v>
      </c>
      <c r="L19" t="s">
        <v>1550</v>
      </c>
      <c r="M19" t="s">
        <v>1250</v>
      </c>
      <c r="O19">
        <v>43376</v>
      </c>
      <c r="P19">
        <v>43376</v>
      </c>
      <c r="R19" t="s">
        <v>74</v>
      </c>
      <c r="S19">
        <v>-74000</v>
      </c>
      <c r="T19">
        <v>-74000</v>
      </c>
      <c r="W19">
        <v>-73228.179999999993</v>
      </c>
      <c r="Y19">
        <v>1</v>
      </c>
      <c r="Z19" t="s">
        <v>75</v>
      </c>
      <c r="AE19" t="s">
        <v>165</v>
      </c>
      <c r="AF19">
        <v>28.554992196790401</v>
      </c>
      <c r="AG19">
        <v>-28.566317135206202</v>
      </c>
      <c r="AH19">
        <v>0</v>
      </c>
      <c r="AI19">
        <v>0</v>
      </c>
      <c r="AJ19">
        <v>-1.10064248389972</v>
      </c>
      <c r="AK19">
        <v>100</v>
      </c>
      <c r="AL19" t="s">
        <v>1551</v>
      </c>
      <c r="AO19" t="s">
        <v>92</v>
      </c>
      <c r="AP19" t="s">
        <v>93</v>
      </c>
      <c r="AQ19" t="s">
        <v>1552</v>
      </c>
      <c r="AT19">
        <v>-392.52710000000002</v>
      </c>
      <c r="AU19">
        <v>222</v>
      </c>
      <c r="AX19" t="s">
        <v>76</v>
      </c>
      <c r="AY19" t="s">
        <v>1553</v>
      </c>
      <c r="BA19" t="s">
        <v>1253</v>
      </c>
      <c r="BG19">
        <v>500</v>
      </c>
      <c r="BH19">
        <v>505</v>
      </c>
      <c r="BI19" t="s">
        <v>1252</v>
      </c>
      <c r="BJ19" t="s">
        <v>1404</v>
      </c>
      <c r="BK19">
        <v>1</v>
      </c>
      <c r="CA19" t="s">
        <v>1410</v>
      </c>
      <c r="CB19" t="s">
        <v>1174</v>
      </c>
      <c r="CC19" t="s">
        <v>1174</v>
      </c>
      <c r="CD19" s="52" t="e">
        <f ca="1">_xll.BDP($AY19&amp;" "&amp;$CA19,CD$3)</f>
        <v>#NAME?</v>
      </c>
      <c r="CE19" s="52" t="e">
        <f ca="1">_xll.BDP($AY19&amp;" "&amp;$CA19,CE$3)</f>
        <v>#NAME?</v>
      </c>
      <c r="CF19" s="52" t="e">
        <f ca="1">_xll.BDP($AY19&amp;" "&amp;$CA19,CF$3)</f>
        <v>#NAME?</v>
      </c>
      <c r="CG19" s="52" t="e">
        <f ca="1">_xll.BDP($AY19&amp;" "&amp;$CA19,CG$3)</f>
        <v>#NAME?</v>
      </c>
      <c r="CH19" s="52" t="e">
        <f ca="1">_xll.BDP($AY19&amp;" "&amp;$CA19,CH$3)</f>
        <v>#NAME?</v>
      </c>
      <c r="CI19" s="52" t="e">
        <f ca="1">_xll.BDP($AY19&amp;" "&amp;$CA19,CI$3)</f>
        <v>#NAME?</v>
      </c>
      <c r="CJ19" s="52" t="e">
        <f ca="1">_xll.BDP($AY19&amp;" "&amp;$CA19,CJ$3)</f>
        <v>#NAME?</v>
      </c>
      <c r="CK19" s="52" t="e">
        <f ca="1">_xll.BDP($AY19&amp;" "&amp;$CA19,CK$3)</f>
        <v>#NAME?</v>
      </c>
      <c r="CL19" s="52" t="e">
        <f ca="1">_xll.BDP($AY19&amp;" "&amp;$CA19,CL$3)</f>
        <v>#NAME?</v>
      </c>
      <c r="CM19" s="52" t="e">
        <f ca="1">_xll.BDP($AY19&amp;" "&amp;$CA19,CM$3)</f>
        <v>#NAME?</v>
      </c>
      <c r="CN19" s="52" t="e">
        <f ca="1">_xll.BDP($AY19&amp;" "&amp;$CA19,CN$3)</f>
        <v>#NAME?</v>
      </c>
      <c r="CO19" s="52" t="e">
        <f ca="1">_xll.BDP($AY19&amp;" "&amp;$CA19,CO$3)</f>
        <v>#NAME?</v>
      </c>
      <c r="CP19" s="52" t="e">
        <f ca="1">_xll.BDP($AY19&amp;" "&amp;$CA19,CP$3)</f>
        <v>#NAME?</v>
      </c>
      <c r="CQ19" s="52" t="e">
        <f ca="1">_xll.BDP($AY19&amp;" "&amp;$CA19,CQ$3)</f>
        <v>#NAME?</v>
      </c>
      <c r="CR19" s="52" t="e">
        <f ca="1">_xll.BDP($AY19&amp;" "&amp;$CA19,CR$3)</f>
        <v>#NAME?</v>
      </c>
      <c r="CS19" s="52" t="e">
        <f ca="1">_xll.BDP($AY19&amp;" "&amp;$CA19,CS$3)</f>
        <v>#NAME?</v>
      </c>
      <c r="CT19" s="52" t="e">
        <f ca="1">_xll.BDP($AY19&amp;" "&amp;$CA19,CT$3)</f>
        <v>#NAME?</v>
      </c>
      <c r="CU19" s="52" t="e">
        <f ca="1">_xll.BDP($CT19&amp;" EQUITY",CU$3)</f>
        <v>#NAME?</v>
      </c>
      <c r="CV19" s="52" t="e">
        <f ca="1">_xll.BDP($CT19&amp;" EQUITY",CV$3)</f>
        <v>#NAME?</v>
      </c>
      <c r="CW19" s="52" t="e">
        <f ca="1">_xll.BDP($CT19&amp;" EQUITY",CW$3)</f>
        <v>#NAME?</v>
      </c>
      <c r="CX19" s="52" t="e">
        <f ca="1">_xll.BDP($CT19&amp;" EQUITY",CX$3)</f>
        <v>#NAME?</v>
      </c>
      <c r="CY19" s="52" t="e">
        <f ca="1">_xll.BDH($CT19&amp;" EQUITY",CY$3,CY$2,CY$2)</f>
        <v>#NAME?</v>
      </c>
      <c r="CZ19" s="52" t="e">
        <f ca="1">_xll.BDH($CT19&amp;" EQUITY",CZ$3,CZ$2,CZ$2)</f>
        <v>#NAME?</v>
      </c>
      <c r="DA19" s="52" t="e">
        <f ca="1">_xll.BDH($CT19&amp;" EQUITY",DA$3,DA$2,DA$2)</f>
        <v>#NAME?</v>
      </c>
      <c r="DB19" s="52" t="e">
        <f ca="1">_xll.BDH($CT19&amp;" EQUITY",DB$3,DB$2,DB$2)</f>
        <v>#NAME?</v>
      </c>
      <c r="DC19" s="52" t="e">
        <f ca="1">_xll.BDH($CT19&amp;" EQUITY",DC$3,DC$2,DC$2)</f>
        <v>#NAME?</v>
      </c>
      <c r="DD19" s="52" t="e">
        <f ca="1">_xll.BDH($CT19&amp;" EQUITY",DD$3,DD$2,DD$2)</f>
        <v>#NAME?</v>
      </c>
      <c r="DE19" s="52" t="e">
        <f ca="1">_xll.BDH($CT19&amp;" EQUITY",DE$3,DE$2,DE$2)</f>
        <v>#NAME?</v>
      </c>
      <c r="DF19" s="52" t="e">
        <f ca="1">_xll.BDH($CT19&amp;" EQUITY",DF$3,DF$2,DF$2)</f>
        <v>#NAME?</v>
      </c>
      <c r="DG19" s="52" t="e">
        <f ca="1">_xll.BDH($CT19&amp;" EQUITY",DG$3,DG$2,DG$2)</f>
        <v>#NAME?</v>
      </c>
      <c r="DH19" s="52" t="e">
        <f ca="1">_xll.BDH($CT19&amp;" EQUITY",DH$3,DH$2,DH$2)</f>
        <v>#NAME?</v>
      </c>
      <c r="DI19" s="52" t="e">
        <f ca="1">_xll.BDH($CT19&amp;" EQUITY",DI$3,DI$2,DI$2)</f>
        <v>#NAME?</v>
      </c>
      <c r="DJ19" s="52" t="e">
        <f ca="1">_xll.BDH($CT19&amp;" EQUITY",DJ$3,DJ$2,DJ$2)</f>
        <v>#NAME?</v>
      </c>
    </row>
    <row r="20" spans="1:114" x14ac:dyDescent="0.25">
      <c r="A20" t="s">
        <v>1554</v>
      </c>
      <c r="D20">
        <v>214777128</v>
      </c>
      <c r="E20" t="s">
        <v>1215</v>
      </c>
      <c r="G20" t="s">
        <v>1251</v>
      </c>
      <c r="H20">
        <v>91017</v>
      </c>
      <c r="I20" t="s">
        <v>1254</v>
      </c>
      <c r="J20" t="s">
        <v>1252</v>
      </c>
      <c r="K20" t="s">
        <v>1404</v>
      </c>
      <c r="L20" t="s">
        <v>1426</v>
      </c>
      <c r="M20" t="s">
        <v>1250</v>
      </c>
      <c r="O20">
        <v>43382</v>
      </c>
      <c r="P20">
        <v>43382</v>
      </c>
      <c r="R20" t="s">
        <v>74</v>
      </c>
      <c r="S20">
        <v>-50000</v>
      </c>
      <c r="T20">
        <v>-50000</v>
      </c>
      <c r="W20">
        <v>-49713</v>
      </c>
      <c r="Y20">
        <v>1</v>
      </c>
      <c r="Z20" t="s">
        <v>75</v>
      </c>
      <c r="AE20" t="s">
        <v>165</v>
      </c>
      <c r="AF20">
        <v>19.496495129002099</v>
      </c>
      <c r="AG20">
        <v>-19.504264046299799</v>
      </c>
      <c r="AH20">
        <v>0</v>
      </c>
      <c r="AI20">
        <v>0</v>
      </c>
      <c r="AJ20">
        <v>-0.42923323539434899</v>
      </c>
      <c r="AK20">
        <v>100</v>
      </c>
      <c r="AL20" t="s">
        <v>1555</v>
      </c>
      <c r="AO20" t="s">
        <v>92</v>
      </c>
      <c r="AP20" t="s">
        <v>93</v>
      </c>
      <c r="AQ20" t="s">
        <v>1556</v>
      </c>
      <c r="AT20">
        <v>-270.48750000000001</v>
      </c>
      <c r="AU20">
        <v>150</v>
      </c>
      <c r="AX20" t="s">
        <v>76</v>
      </c>
      <c r="AY20" t="s">
        <v>1557</v>
      </c>
      <c r="BA20" t="s">
        <v>1253</v>
      </c>
      <c r="BG20">
        <v>500</v>
      </c>
      <c r="BH20">
        <v>505</v>
      </c>
      <c r="BI20" t="s">
        <v>1252</v>
      </c>
      <c r="BJ20" t="s">
        <v>1404</v>
      </c>
      <c r="BK20">
        <v>1</v>
      </c>
      <c r="CA20" t="s">
        <v>1410</v>
      </c>
      <c r="CB20" t="s">
        <v>1174</v>
      </c>
      <c r="CC20" t="s">
        <v>1174</v>
      </c>
      <c r="CD20" s="52" t="e">
        <f ca="1">_xll.BDP($AY20&amp;" "&amp;$CA20,CD$3)</f>
        <v>#NAME?</v>
      </c>
      <c r="CE20" s="52" t="e">
        <f ca="1">_xll.BDP($AY20&amp;" "&amp;$CA20,CE$3)</f>
        <v>#NAME?</v>
      </c>
      <c r="CF20" s="52" t="e">
        <f ca="1">_xll.BDP($AY20&amp;" "&amp;$CA20,CF$3)</f>
        <v>#NAME?</v>
      </c>
      <c r="CG20" s="52" t="e">
        <f ca="1">_xll.BDP($AY20&amp;" "&amp;$CA20,CG$3)</f>
        <v>#NAME?</v>
      </c>
      <c r="CH20" s="52" t="e">
        <f ca="1">_xll.BDP($AY20&amp;" "&amp;$CA20,CH$3)</f>
        <v>#NAME?</v>
      </c>
      <c r="CI20" s="52" t="e">
        <f ca="1">_xll.BDP($AY20&amp;" "&amp;$CA20,CI$3)</f>
        <v>#NAME?</v>
      </c>
      <c r="CJ20" s="52" t="e">
        <f ca="1">_xll.BDP($AY20&amp;" "&amp;$CA20,CJ$3)</f>
        <v>#NAME?</v>
      </c>
      <c r="CK20" s="52" t="e">
        <f ca="1">_xll.BDP($AY20&amp;" "&amp;$CA20,CK$3)</f>
        <v>#NAME?</v>
      </c>
      <c r="CL20" s="52" t="e">
        <f ca="1">_xll.BDP($AY20&amp;" "&amp;$CA20,CL$3)</f>
        <v>#NAME?</v>
      </c>
      <c r="CM20" s="52" t="e">
        <f ca="1">_xll.BDP($AY20&amp;" "&amp;$CA20,CM$3)</f>
        <v>#NAME?</v>
      </c>
      <c r="CN20" s="52" t="e">
        <f ca="1">_xll.BDP($AY20&amp;" "&amp;$CA20,CN$3)</f>
        <v>#NAME?</v>
      </c>
      <c r="CO20" s="52" t="e">
        <f ca="1">_xll.BDP($AY20&amp;" "&amp;$CA20,CO$3)</f>
        <v>#NAME?</v>
      </c>
      <c r="CP20" s="52" t="e">
        <f ca="1">_xll.BDP($AY20&amp;" "&amp;$CA20,CP$3)</f>
        <v>#NAME?</v>
      </c>
      <c r="CQ20" s="52" t="e">
        <f ca="1">_xll.BDP($AY20&amp;" "&amp;$CA20,CQ$3)</f>
        <v>#NAME?</v>
      </c>
      <c r="CR20" s="52" t="e">
        <f ca="1">_xll.BDP($AY20&amp;" "&amp;$CA20,CR$3)</f>
        <v>#NAME?</v>
      </c>
      <c r="CS20" s="52" t="e">
        <f ca="1">_xll.BDP($AY20&amp;" "&amp;$CA20,CS$3)</f>
        <v>#NAME?</v>
      </c>
      <c r="CT20" s="52" t="e">
        <f ca="1">_xll.BDP($AY20&amp;" "&amp;$CA20,CT$3)</f>
        <v>#NAME?</v>
      </c>
      <c r="CU20" s="52" t="e">
        <f ca="1">_xll.BDP($CT20&amp;" EQUITY",CU$3)</f>
        <v>#NAME?</v>
      </c>
      <c r="CV20" s="52" t="e">
        <f ca="1">_xll.BDP($CT20&amp;" EQUITY",CV$3)</f>
        <v>#NAME?</v>
      </c>
      <c r="CW20" s="52" t="e">
        <f ca="1">_xll.BDP($CT20&amp;" EQUITY",CW$3)</f>
        <v>#NAME?</v>
      </c>
      <c r="CX20" s="52" t="e">
        <f ca="1">_xll.BDP($CT20&amp;" EQUITY",CX$3)</f>
        <v>#NAME?</v>
      </c>
      <c r="CY20" s="52" t="e">
        <f ca="1">_xll.BDH($CT20&amp;" EQUITY",CY$3,CY$2,CY$2)</f>
        <v>#NAME?</v>
      </c>
      <c r="CZ20" s="52" t="e">
        <f ca="1">_xll.BDH($CT20&amp;" EQUITY",CZ$3,CZ$2,CZ$2)</f>
        <v>#NAME?</v>
      </c>
      <c r="DA20" s="52" t="e">
        <f ca="1">_xll.BDH($CT20&amp;" EQUITY",DA$3,DA$2,DA$2)</f>
        <v>#NAME?</v>
      </c>
      <c r="DB20" s="52" t="e">
        <f ca="1">_xll.BDH($CT20&amp;" EQUITY",DB$3,DB$2,DB$2)</f>
        <v>#NAME?</v>
      </c>
      <c r="DC20" s="52" t="e">
        <f ca="1">_xll.BDH($CT20&amp;" EQUITY",DC$3,DC$2,DC$2)</f>
        <v>#NAME?</v>
      </c>
      <c r="DD20" s="52" t="e">
        <f ca="1">_xll.BDH($CT20&amp;" EQUITY",DD$3,DD$2,DD$2)</f>
        <v>#NAME?</v>
      </c>
      <c r="DE20" s="52" t="e">
        <f ca="1">_xll.BDH($CT20&amp;" EQUITY",DE$3,DE$2,DE$2)</f>
        <v>#NAME?</v>
      </c>
      <c r="DF20" s="52" t="e">
        <f ca="1">_xll.BDH($CT20&amp;" EQUITY",DF$3,DF$2,DF$2)</f>
        <v>#NAME?</v>
      </c>
      <c r="DG20" s="52" t="e">
        <f ca="1">_xll.BDH($CT20&amp;" EQUITY",DG$3,DG$2,DG$2)</f>
        <v>#NAME?</v>
      </c>
      <c r="DH20" s="52" t="e">
        <f ca="1">_xll.BDH($CT20&amp;" EQUITY",DH$3,DH$2,DH$2)</f>
        <v>#NAME?</v>
      </c>
      <c r="DI20" s="52" t="e">
        <f ca="1">_xll.BDH($CT20&amp;" EQUITY",DI$3,DI$2,DI$2)</f>
        <v>#NAME?</v>
      </c>
      <c r="DJ20" s="52" t="e">
        <f ca="1">_xll.BDH($CT20&amp;" EQUITY",DJ$3,DJ$2,DJ$2)</f>
        <v>#NAME?</v>
      </c>
    </row>
    <row r="21" spans="1:114" x14ac:dyDescent="0.25">
      <c r="A21" t="s">
        <v>1558</v>
      </c>
      <c r="D21">
        <v>214777129</v>
      </c>
      <c r="E21" t="s">
        <v>1215</v>
      </c>
      <c r="G21" t="s">
        <v>1251</v>
      </c>
      <c r="H21">
        <v>91017</v>
      </c>
      <c r="I21" t="s">
        <v>1254</v>
      </c>
      <c r="J21" t="s">
        <v>1252</v>
      </c>
      <c r="K21" t="s">
        <v>1404</v>
      </c>
      <c r="L21" t="s">
        <v>1426</v>
      </c>
      <c r="M21" t="s">
        <v>1250</v>
      </c>
      <c r="O21">
        <v>42654</v>
      </c>
      <c r="P21">
        <v>42654</v>
      </c>
      <c r="R21" t="s">
        <v>74</v>
      </c>
      <c r="S21">
        <v>-145000</v>
      </c>
      <c r="T21">
        <v>-145000</v>
      </c>
      <c r="W21">
        <v>-144694.92000000001</v>
      </c>
      <c r="Y21">
        <v>1</v>
      </c>
      <c r="Z21" t="s">
        <v>75</v>
      </c>
      <c r="AE21" t="s">
        <v>165</v>
      </c>
      <c r="AF21">
        <v>29.3045479360153</v>
      </c>
      <c r="AG21">
        <v>-29.310498740989701</v>
      </c>
      <c r="AH21">
        <v>0</v>
      </c>
      <c r="AI21">
        <v>0</v>
      </c>
      <c r="AJ21">
        <v>-1.2937230909883499</v>
      </c>
      <c r="AK21">
        <v>100</v>
      </c>
      <c r="AL21" t="s">
        <v>1559</v>
      </c>
      <c r="AO21" t="s">
        <v>92</v>
      </c>
      <c r="AP21" t="s">
        <v>93</v>
      </c>
      <c r="AQ21" t="s">
        <v>1560</v>
      </c>
      <c r="AT21">
        <v>-209.57980000000001</v>
      </c>
      <c r="AU21">
        <v>435</v>
      </c>
      <c r="AX21" t="s">
        <v>76</v>
      </c>
      <c r="AY21" t="s">
        <v>1561</v>
      </c>
      <c r="BA21" t="s">
        <v>1253</v>
      </c>
      <c r="BG21">
        <v>500</v>
      </c>
      <c r="BH21">
        <v>505</v>
      </c>
      <c r="BI21" t="s">
        <v>1252</v>
      </c>
      <c r="BJ21" t="s">
        <v>1404</v>
      </c>
      <c r="BK21">
        <v>1</v>
      </c>
      <c r="CA21" t="s">
        <v>1410</v>
      </c>
      <c r="CB21" t="s">
        <v>1174</v>
      </c>
      <c r="CC21" t="s">
        <v>1174</v>
      </c>
      <c r="CD21" s="52" t="e">
        <f ca="1">_xll.BDP($AY21&amp;" "&amp;$CA21,CD$3)</f>
        <v>#NAME?</v>
      </c>
      <c r="CE21" s="52" t="e">
        <f ca="1">_xll.BDP($AY21&amp;" "&amp;$CA21,CE$3)</f>
        <v>#NAME?</v>
      </c>
      <c r="CF21" s="52" t="e">
        <f ca="1">_xll.BDP($AY21&amp;" "&amp;$CA21,CF$3)</f>
        <v>#NAME?</v>
      </c>
      <c r="CG21" s="52" t="e">
        <f ca="1">_xll.BDP($AY21&amp;" "&amp;$CA21,CG$3)</f>
        <v>#NAME?</v>
      </c>
      <c r="CH21" s="52" t="e">
        <f ca="1">_xll.BDP($AY21&amp;" "&amp;$CA21,CH$3)</f>
        <v>#NAME?</v>
      </c>
      <c r="CI21" s="52" t="e">
        <f ca="1">_xll.BDP($AY21&amp;" "&amp;$CA21,CI$3)</f>
        <v>#NAME?</v>
      </c>
      <c r="CJ21" s="52" t="e">
        <f ca="1">_xll.BDP($AY21&amp;" "&amp;$CA21,CJ$3)</f>
        <v>#NAME?</v>
      </c>
      <c r="CK21" s="52" t="e">
        <f ca="1">_xll.BDP($AY21&amp;" "&amp;$CA21,CK$3)</f>
        <v>#NAME?</v>
      </c>
      <c r="CL21" s="52" t="e">
        <f ca="1">_xll.BDP($AY21&amp;" "&amp;$CA21,CL$3)</f>
        <v>#NAME?</v>
      </c>
      <c r="CM21" s="52" t="e">
        <f ca="1">_xll.BDP($AY21&amp;" "&amp;$CA21,CM$3)</f>
        <v>#NAME?</v>
      </c>
      <c r="CN21" s="52" t="e">
        <f ca="1">_xll.BDP($AY21&amp;" "&amp;$CA21,CN$3)</f>
        <v>#NAME?</v>
      </c>
      <c r="CO21" s="52" t="e">
        <f ca="1">_xll.BDP($AY21&amp;" "&amp;$CA21,CO$3)</f>
        <v>#NAME?</v>
      </c>
      <c r="CP21" s="52" t="e">
        <f ca="1">_xll.BDP($AY21&amp;" "&amp;$CA21,CP$3)</f>
        <v>#NAME?</v>
      </c>
      <c r="CQ21" s="52" t="e">
        <f ca="1">_xll.BDP($AY21&amp;" "&amp;$CA21,CQ$3)</f>
        <v>#NAME?</v>
      </c>
      <c r="CR21" s="52" t="e">
        <f ca="1">_xll.BDP($AY21&amp;" "&amp;$CA21,CR$3)</f>
        <v>#NAME?</v>
      </c>
      <c r="CS21" s="52" t="e">
        <f ca="1">_xll.BDP($AY21&amp;" "&amp;$CA21,CS$3)</f>
        <v>#NAME?</v>
      </c>
      <c r="CT21" s="52" t="e">
        <f ca="1">_xll.BDP($AY21&amp;" "&amp;$CA21,CT$3)</f>
        <v>#NAME?</v>
      </c>
      <c r="CU21" s="52" t="e">
        <f ca="1">_xll.BDP($CT21&amp;" EQUITY",CU$3)</f>
        <v>#NAME?</v>
      </c>
      <c r="CV21" s="52" t="e">
        <f ca="1">_xll.BDP($CT21&amp;" EQUITY",CV$3)</f>
        <v>#NAME?</v>
      </c>
      <c r="CW21" s="52" t="e">
        <f ca="1">_xll.BDP($CT21&amp;" EQUITY",CW$3)</f>
        <v>#NAME?</v>
      </c>
      <c r="CX21" s="52" t="e">
        <f ca="1">_xll.BDP($CT21&amp;" EQUITY",CX$3)</f>
        <v>#NAME?</v>
      </c>
      <c r="CY21" s="52" t="e">
        <f ca="1">_xll.BDH($CT21&amp;" EQUITY",CY$3,CY$2,CY$2)</f>
        <v>#NAME?</v>
      </c>
      <c r="CZ21" s="52" t="e">
        <f ca="1">_xll.BDH($CT21&amp;" EQUITY",CZ$3,CZ$2,CZ$2)</f>
        <v>#NAME?</v>
      </c>
      <c r="DA21" s="52" t="e">
        <f ca="1">_xll.BDH($CT21&amp;" EQUITY",DA$3,DA$2,DA$2)</f>
        <v>#NAME?</v>
      </c>
      <c r="DB21" s="52" t="e">
        <f ca="1">_xll.BDH($CT21&amp;" EQUITY",DB$3,DB$2,DB$2)</f>
        <v>#NAME?</v>
      </c>
      <c r="DC21" s="52" t="e">
        <f ca="1">_xll.BDH($CT21&amp;" EQUITY",DC$3,DC$2,DC$2)</f>
        <v>#NAME?</v>
      </c>
      <c r="DD21" s="52" t="e">
        <f ca="1">_xll.BDH($CT21&amp;" EQUITY",DD$3,DD$2,DD$2)</f>
        <v>#NAME?</v>
      </c>
      <c r="DE21" s="52" t="e">
        <f ca="1">_xll.BDH($CT21&amp;" EQUITY",DE$3,DE$2,DE$2)</f>
        <v>#NAME?</v>
      </c>
      <c r="DF21" s="52" t="e">
        <f ca="1">_xll.BDH($CT21&amp;" EQUITY",DF$3,DF$2,DF$2)</f>
        <v>#NAME?</v>
      </c>
      <c r="DG21" s="52" t="e">
        <f ca="1">_xll.BDH($CT21&amp;" EQUITY",DG$3,DG$2,DG$2)</f>
        <v>#NAME?</v>
      </c>
      <c r="DH21" s="52" t="e">
        <f ca="1">_xll.BDH($CT21&amp;" EQUITY",DH$3,DH$2,DH$2)</f>
        <v>#NAME?</v>
      </c>
      <c r="DI21" s="52" t="e">
        <f ca="1">_xll.BDH($CT21&amp;" EQUITY",DI$3,DI$2,DI$2)</f>
        <v>#NAME?</v>
      </c>
      <c r="DJ21" s="52" t="e">
        <f ca="1">_xll.BDH($CT21&amp;" EQUITY",DJ$3,DJ$2,DJ$2)</f>
        <v>#NAME?</v>
      </c>
    </row>
    <row r="22" spans="1:114" x14ac:dyDescent="0.25">
      <c r="A22" t="s">
        <v>1562</v>
      </c>
      <c r="D22">
        <v>214777130</v>
      </c>
      <c r="E22" t="s">
        <v>1215</v>
      </c>
      <c r="G22" t="s">
        <v>1251</v>
      </c>
      <c r="H22">
        <v>91017</v>
      </c>
      <c r="I22" t="s">
        <v>1254</v>
      </c>
      <c r="J22" t="s">
        <v>1252</v>
      </c>
      <c r="K22" t="s">
        <v>1404</v>
      </c>
      <c r="L22" t="s">
        <v>1426</v>
      </c>
      <c r="M22" t="s">
        <v>1250</v>
      </c>
      <c r="O22">
        <v>43018</v>
      </c>
      <c r="P22">
        <v>43018</v>
      </c>
      <c r="R22" t="s">
        <v>74</v>
      </c>
      <c r="S22">
        <v>-25000</v>
      </c>
      <c r="T22">
        <v>-25000</v>
      </c>
      <c r="W22">
        <v>-24891.601500000001</v>
      </c>
      <c r="Y22">
        <v>1</v>
      </c>
      <c r="Z22" t="s">
        <v>75</v>
      </c>
      <c r="AE22" t="s">
        <v>165</v>
      </c>
      <c r="AF22">
        <v>7.43951825760087</v>
      </c>
      <c r="AG22">
        <v>-7.4417601481982301</v>
      </c>
      <c r="AH22">
        <v>0</v>
      </c>
      <c r="AI22">
        <v>0</v>
      </c>
      <c r="AJ22">
        <v>-0.23003584770049201</v>
      </c>
      <c r="AK22">
        <v>100</v>
      </c>
      <c r="AL22" t="s">
        <v>1563</v>
      </c>
      <c r="AO22" t="s">
        <v>92</v>
      </c>
      <c r="AP22" t="s">
        <v>93</v>
      </c>
      <c r="AQ22" t="s">
        <v>1564</v>
      </c>
      <c r="AT22">
        <v>-85.536799999999999</v>
      </c>
      <c r="AU22">
        <v>75</v>
      </c>
      <c r="AX22" t="s">
        <v>76</v>
      </c>
      <c r="AY22" t="s">
        <v>1565</v>
      </c>
      <c r="BA22" t="s">
        <v>1253</v>
      </c>
      <c r="BG22">
        <v>500</v>
      </c>
      <c r="BH22">
        <v>505</v>
      </c>
      <c r="BI22" t="s">
        <v>1252</v>
      </c>
      <c r="BJ22" t="s">
        <v>1404</v>
      </c>
      <c r="BK22">
        <v>1</v>
      </c>
      <c r="CA22" t="s">
        <v>1410</v>
      </c>
      <c r="CB22" t="s">
        <v>1174</v>
      </c>
      <c r="CC22" t="s">
        <v>1174</v>
      </c>
      <c r="CD22" s="52" t="e">
        <f ca="1">_xll.BDP($AY22&amp;" "&amp;$CA22,CD$3)</f>
        <v>#NAME?</v>
      </c>
      <c r="CE22" s="52" t="e">
        <f ca="1">_xll.BDP($AY22&amp;" "&amp;$CA22,CE$3)</f>
        <v>#NAME?</v>
      </c>
      <c r="CF22" s="52" t="e">
        <f ca="1">_xll.BDP($AY22&amp;" "&amp;$CA22,CF$3)</f>
        <v>#NAME?</v>
      </c>
      <c r="CG22" s="52" t="e">
        <f ca="1">_xll.BDP($AY22&amp;" "&amp;$CA22,CG$3)</f>
        <v>#NAME?</v>
      </c>
      <c r="CH22" s="52" t="e">
        <f ca="1">_xll.BDP($AY22&amp;" "&amp;$CA22,CH$3)</f>
        <v>#NAME?</v>
      </c>
      <c r="CI22" s="52" t="e">
        <f ca="1">_xll.BDP($AY22&amp;" "&amp;$CA22,CI$3)</f>
        <v>#NAME?</v>
      </c>
      <c r="CJ22" s="52" t="e">
        <f ca="1">_xll.BDP($AY22&amp;" "&amp;$CA22,CJ$3)</f>
        <v>#NAME?</v>
      </c>
      <c r="CK22" s="52" t="e">
        <f ca="1">_xll.BDP($AY22&amp;" "&amp;$CA22,CK$3)</f>
        <v>#NAME?</v>
      </c>
      <c r="CL22" s="52" t="e">
        <f ca="1">_xll.BDP($AY22&amp;" "&amp;$CA22,CL$3)</f>
        <v>#NAME?</v>
      </c>
      <c r="CM22" s="52" t="e">
        <f ca="1">_xll.BDP($AY22&amp;" "&amp;$CA22,CM$3)</f>
        <v>#NAME?</v>
      </c>
      <c r="CN22" s="52" t="e">
        <f ca="1">_xll.BDP($AY22&amp;" "&amp;$CA22,CN$3)</f>
        <v>#NAME?</v>
      </c>
      <c r="CO22" s="52" t="e">
        <f ca="1">_xll.BDP($AY22&amp;" "&amp;$CA22,CO$3)</f>
        <v>#NAME?</v>
      </c>
      <c r="CP22" s="52" t="e">
        <f ca="1">_xll.BDP($AY22&amp;" "&amp;$CA22,CP$3)</f>
        <v>#NAME?</v>
      </c>
      <c r="CQ22" s="52" t="e">
        <f ca="1">_xll.BDP($AY22&amp;" "&amp;$CA22,CQ$3)</f>
        <v>#NAME?</v>
      </c>
      <c r="CR22" s="52" t="e">
        <f ca="1">_xll.BDP($AY22&amp;" "&amp;$CA22,CR$3)</f>
        <v>#NAME?</v>
      </c>
      <c r="CS22" s="52" t="e">
        <f ca="1">_xll.BDP($AY22&amp;" "&amp;$CA22,CS$3)</f>
        <v>#NAME?</v>
      </c>
      <c r="CT22" s="52" t="e">
        <f ca="1">_xll.BDP($AY22&amp;" "&amp;$CA22,CT$3)</f>
        <v>#NAME?</v>
      </c>
      <c r="CU22" s="52" t="e">
        <f ca="1">_xll.BDP($CT22&amp;" EQUITY",CU$3)</f>
        <v>#NAME?</v>
      </c>
      <c r="CV22" s="52" t="e">
        <f ca="1">_xll.BDP($CT22&amp;" EQUITY",CV$3)</f>
        <v>#NAME?</v>
      </c>
      <c r="CW22" s="52" t="e">
        <f ca="1">_xll.BDP($CT22&amp;" EQUITY",CW$3)</f>
        <v>#NAME?</v>
      </c>
      <c r="CX22" s="52" t="e">
        <f ca="1">_xll.BDP($CT22&amp;" EQUITY",CX$3)</f>
        <v>#NAME?</v>
      </c>
      <c r="CY22" s="52" t="e">
        <f ca="1">_xll.BDH($CT22&amp;" EQUITY",CY$3,CY$2,CY$2)</f>
        <v>#NAME?</v>
      </c>
      <c r="CZ22" s="52" t="e">
        <f ca="1">_xll.BDH($CT22&amp;" EQUITY",CZ$3,CZ$2,CZ$2)</f>
        <v>#NAME?</v>
      </c>
      <c r="DA22" s="52" t="e">
        <f ca="1">_xll.BDH($CT22&amp;" EQUITY",DA$3,DA$2,DA$2)</f>
        <v>#NAME?</v>
      </c>
      <c r="DB22" s="52" t="e">
        <f ca="1">_xll.BDH($CT22&amp;" EQUITY",DB$3,DB$2,DB$2)</f>
        <v>#NAME?</v>
      </c>
      <c r="DC22" s="52" t="e">
        <f ca="1">_xll.BDH($CT22&amp;" EQUITY",DC$3,DC$2,DC$2)</f>
        <v>#NAME?</v>
      </c>
      <c r="DD22" s="52" t="e">
        <f ca="1">_xll.BDH($CT22&amp;" EQUITY",DD$3,DD$2,DD$2)</f>
        <v>#NAME?</v>
      </c>
      <c r="DE22" s="52" t="e">
        <f ca="1">_xll.BDH($CT22&amp;" EQUITY",DE$3,DE$2,DE$2)</f>
        <v>#NAME?</v>
      </c>
      <c r="DF22" s="52" t="e">
        <f ca="1">_xll.BDH($CT22&amp;" EQUITY",DF$3,DF$2,DF$2)</f>
        <v>#NAME?</v>
      </c>
      <c r="DG22" s="52" t="e">
        <f ca="1">_xll.BDH($CT22&amp;" EQUITY",DG$3,DG$2,DG$2)</f>
        <v>#NAME?</v>
      </c>
      <c r="DH22" s="52" t="e">
        <f ca="1">_xll.BDH($CT22&amp;" EQUITY",DH$3,DH$2,DH$2)</f>
        <v>#NAME?</v>
      </c>
      <c r="DI22" s="52" t="e">
        <f ca="1">_xll.BDH($CT22&amp;" EQUITY",DI$3,DI$2,DI$2)</f>
        <v>#NAME?</v>
      </c>
      <c r="DJ22" s="52" t="e">
        <f ca="1">_xll.BDH($CT22&amp;" EQUITY",DJ$3,DJ$2,DJ$2)</f>
        <v>#NAME?</v>
      </c>
    </row>
    <row r="23" spans="1:114" x14ac:dyDescent="0.25">
      <c r="A23" t="s">
        <v>1566</v>
      </c>
      <c r="D23">
        <v>214777132</v>
      </c>
      <c r="E23" t="s">
        <v>1215</v>
      </c>
      <c r="G23" t="s">
        <v>1251</v>
      </c>
      <c r="H23">
        <v>91017</v>
      </c>
      <c r="I23" t="s">
        <v>1254</v>
      </c>
      <c r="J23" t="s">
        <v>1252</v>
      </c>
      <c r="K23" t="s">
        <v>1404</v>
      </c>
      <c r="L23" t="s">
        <v>1426</v>
      </c>
      <c r="M23" t="s">
        <v>1250</v>
      </c>
      <c r="O23">
        <v>43746</v>
      </c>
      <c r="P23">
        <v>43746</v>
      </c>
      <c r="R23" t="s">
        <v>74</v>
      </c>
      <c r="S23">
        <v>-131000</v>
      </c>
      <c r="T23">
        <v>-131000</v>
      </c>
      <c r="W23">
        <v>-129989.859</v>
      </c>
      <c r="Y23">
        <v>1</v>
      </c>
      <c r="Z23" t="s">
        <v>75</v>
      </c>
      <c r="AE23" t="s">
        <v>165</v>
      </c>
      <c r="AF23">
        <v>62.579194065998301</v>
      </c>
      <c r="AG23">
        <v>-62.610111019996097</v>
      </c>
      <c r="AH23">
        <v>0</v>
      </c>
      <c r="AI23">
        <v>0</v>
      </c>
      <c r="AJ23">
        <v>-1.52957195600902</v>
      </c>
      <c r="AK23">
        <v>100</v>
      </c>
      <c r="AL23" t="s">
        <v>1567</v>
      </c>
      <c r="AO23" t="s">
        <v>92</v>
      </c>
      <c r="AP23" t="s">
        <v>93</v>
      </c>
      <c r="AQ23" t="s">
        <v>1568</v>
      </c>
      <c r="AT23">
        <v>-805.66129999999998</v>
      </c>
      <c r="AU23">
        <v>393</v>
      </c>
      <c r="AX23" t="s">
        <v>76</v>
      </c>
      <c r="AY23" t="s">
        <v>1569</v>
      </c>
      <c r="BA23" t="s">
        <v>1253</v>
      </c>
      <c r="BG23">
        <v>500</v>
      </c>
      <c r="BH23">
        <v>505</v>
      </c>
      <c r="BI23" t="s">
        <v>1252</v>
      </c>
      <c r="BJ23" t="s">
        <v>1404</v>
      </c>
      <c r="BK23">
        <v>1</v>
      </c>
      <c r="CA23" t="s">
        <v>1410</v>
      </c>
      <c r="CB23" t="s">
        <v>1174</v>
      </c>
      <c r="CC23" t="s">
        <v>1174</v>
      </c>
      <c r="CD23" s="52" t="e">
        <f ca="1">_xll.BDP($AY23&amp;" "&amp;$CA23,CD$3)</f>
        <v>#NAME?</v>
      </c>
      <c r="CE23" s="52" t="e">
        <f ca="1">_xll.BDP($AY23&amp;" "&amp;$CA23,CE$3)</f>
        <v>#NAME?</v>
      </c>
      <c r="CF23" s="52" t="e">
        <f ca="1">_xll.BDP($AY23&amp;" "&amp;$CA23,CF$3)</f>
        <v>#NAME?</v>
      </c>
      <c r="CG23" s="52" t="e">
        <f ca="1">_xll.BDP($AY23&amp;" "&amp;$CA23,CG$3)</f>
        <v>#NAME?</v>
      </c>
      <c r="CH23" s="52" t="e">
        <f ca="1">_xll.BDP($AY23&amp;" "&amp;$CA23,CH$3)</f>
        <v>#NAME?</v>
      </c>
      <c r="CI23" s="52" t="e">
        <f ca="1">_xll.BDP($AY23&amp;" "&amp;$CA23,CI$3)</f>
        <v>#NAME?</v>
      </c>
      <c r="CJ23" s="52" t="e">
        <f ca="1">_xll.BDP($AY23&amp;" "&amp;$CA23,CJ$3)</f>
        <v>#NAME?</v>
      </c>
      <c r="CK23" s="52" t="e">
        <f ca="1">_xll.BDP($AY23&amp;" "&amp;$CA23,CK$3)</f>
        <v>#NAME?</v>
      </c>
      <c r="CL23" s="52" t="e">
        <f ca="1">_xll.BDP($AY23&amp;" "&amp;$CA23,CL$3)</f>
        <v>#NAME?</v>
      </c>
      <c r="CM23" s="52" t="e">
        <f ca="1">_xll.BDP($AY23&amp;" "&amp;$CA23,CM$3)</f>
        <v>#NAME?</v>
      </c>
      <c r="CN23" s="52" t="e">
        <f ca="1">_xll.BDP($AY23&amp;" "&amp;$CA23,CN$3)</f>
        <v>#NAME?</v>
      </c>
      <c r="CO23" s="52" t="e">
        <f ca="1">_xll.BDP($AY23&amp;" "&amp;$CA23,CO$3)</f>
        <v>#NAME?</v>
      </c>
      <c r="CP23" s="52" t="e">
        <f ca="1">_xll.BDP($AY23&amp;" "&amp;$CA23,CP$3)</f>
        <v>#NAME?</v>
      </c>
      <c r="CQ23" s="52" t="e">
        <f ca="1">_xll.BDP($AY23&amp;" "&amp;$CA23,CQ$3)</f>
        <v>#NAME?</v>
      </c>
      <c r="CR23" s="52" t="e">
        <f ca="1">_xll.BDP($AY23&amp;" "&amp;$CA23,CR$3)</f>
        <v>#NAME?</v>
      </c>
      <c r="CS23" s="52" t="e">
        <f ca="1">_xll.BDP($AY23&amp;" "&amp;$CA23,CS$3)</f>
        <v>#NAME?</v>
      </c>
      <c r="CT23" s="52" t="e">
        <f ca="1">_xll.BDP($AY23&amp;" "&amp;$CA23,CT$3)</f>
        <v>#NAME?</v>
      </c>
      <c r="CU23" s="52" t="e">
        <f ca="1">_xll.BDP($CT23&amp;" EQUITY",CU$3)</f>
        <v>#NAME?</v>
      </c>
      <c r="CV23" s="52" t="e">
        <f ca="1">_xll.BDP($CT23&amp;" EQUITY",CV$3)</f>
        <v>#NAME?</v>
      </c>
      <c r="CW23" s="52" t="e">
        <f ca="1">_xll.BDP($CT23&amp;" EQUITY",CW$3)</f>
        <v>#NAME?</v>
      </c>
      <c r="CX23" s="52" t="e">
        <f ca="1">_xll.BDP($CT23&amp;" EQUITY",CX$3)</f>
        <v>#NAME?</v>
      </c>
      <c r="CY23" s="52" t="e">
        <f ca="1">_xll.BDH($CT23&amp;" EQUITY",CY$3,CY$2,CY$2)</f>
        <v>#NAME?</v>
      </c>
      <c r="CZ23" s="52" t="e">
        <f ca="1">_xll.BDH($CT23&amp;" EQUITY",CZ$3,CZ$2,CZ$2)</f>
        <v>#NAME?</v>
      </c>
      <c r="DA23" s="52" t="e">
        <f ca="1">_xll.BDH($CT23&amp;" EQUITY",DA$3,DA$2,DA$2)</f>
        <v>#NAME?</v>
      </c>
      <c r="DB23" s="52" t="e">
        <f ca="1">_xll.BDH($CT23&amp;" EQUITY",DB$3,DB$2,DB$2)</f>
        <v>#NAME?</v>
      </c>
      <c r="DC23" s="52" t="e">
        <f ca="1">_xll.BDH($CT23&amp;" EQUITY",DC$3,DC$2,DC$2)</f>
        <v>#NAME?</v>
      </c>
      <c r="DD23" s="52" t="e">
        <f ca="1">_xll.BDH($CT23&amp;" EQUITY",DD$3,DD$2,DD$2)</f>
        <v>#NAME?</v>
      </c>
      <c r="DE23" s="52" t="e">
        <f ca="1">_xll.BDH($CT23&amp;" EQUITY",DE$3,DE$2,DE$2)</f>
        <v>#NAME?</v>
      </c>
      <c r="DF23" s="52" t="e">
        <f ca="1">_xll.BDH($CT23&amp;" EQUITY",DF$3,DF$2,DF$2)</f>
        <v>#NAME?</v>
      </c>
      <c r="DG23" s="52" t="e">
        <f ca="1">_xll.BDH($CT23&amp;" EQUITY",DG$3,DG$2,DG$2)</f>
        <v>#NAME?</v>
      </c>
      <c r="DH23" s="52" t="e">
        <f ca="1">_xll.BDH($CT23&amp;" EQUITY",DH$3,DH$2,DH$2)</f>
        <v>#NAME?</v>
      </c>
      <c r="DI23" s="52" t="e">
        <f ca="1">_xll.BDH($CT23&amp;" EQUITY",DI$3,DI$2,DI$2)</f>
        <v>#NAME?</v>
      </c>
      <c r="DJ23" s="52" t="e">
        <f ca="1">_xll.BDH($CT23&amp;" EQUITY",DJ$3,DJ$2,DJ$2)</f>
        <v>#NAME?</v>
      </c>
    </row>
    <row r="24" spans="1:114" x14ac:dyDescent="0.25">
      <c r="A24" t="s">
        <v>1570</v>
      </c>
      <c r="D24">
        <v>214777133</v>
      </c>
      <c r="E24" t="s">
        <v>1215</v>
      </c>
      <c r="G24" t="s">
        <v>1251</v>
      </c>
      <c r="H24">
        <v>91017</v>
      </c>
      <c r="I24" t="s">
        <v>1254</v>
      </c>
      <c r="J24" t="s">
        <v>1252</v>
      </c>
      <c r="K24" t="s">
        <v>1404</v>
      </c>
      <c r="L24" t="s">
        <v>1426</v>
      </c>
      <c r="M24" t="s">
        <v>1250</v>
      </c>
      <c r="O24">
        <v>42835</v>
      </c>
      <c r="P24">
        <v>42835</v>
      </c>
      <c r="R24" t="s">
        <v>74</v>
      </c>
      <c r="S24">
        <v>-45000</v>
      </c>
      <c r="T24">
        <v>-45000</v>
      </c>
      <c r="W24">
        <v>-44827.199999999997</v>
      </c>
      <c r="Y24">
        <v>1</v>
      </c>
      <c r="Z24" t="s">
        <v>75</v>
      </c>
      <c r="AE24" t="s">
        <v>165</v>
      </c>
      <c r="AF24">
        <v>11.247620076297601</v>
      </c>
      <c r="AG24">
        <v>-11.250455173503701</v>
      </c>
      <c r="AH24">
        <v>0</v>
      </c>
      <c r="AI24">
        <v>0</v>
      </c>
      <c r="AJ24">
        <v>-0.28256210810650401</v>
      </c>
      <c r="AK24">
        <v>100</v>
      </c>
      <c r="AL24" t="s">
        <v>1571</v>
      </c>
      <c r="AO24" t="s">
        <v>92</v>
      </c>
      <c r="AP24" t="s">
        <v>93</v>
      </c>
      <c r="AQ24" t="s">
        <v>1572</v>
      </c>
      <c r="AT24">
        <v>-110.1306</v>
      </c>
      <c r="AU24">
        <v>135</v>
      </c>
      <c r="AX24" t="s">
        <v>76</v>
      </c>
      <c r="AY24" t="s">
        <v>1573</v>
      </c>
      <c r="BA24" t="s">
        <v>1253</v>
      </c>
      <c r="BG24">
        <v>500</v>
      </c>
      <c r="BH24">
        <v>505</v>
      </c>
      <c r="BI24" t="s">
        <v>1252</v>
      </c>
      <c r="BJ24" t="s">
        <v>1404</v>
      </c>
      <c r="BK24">
        <v>1</v>
      </c>
      <c r="CA24" t="s">
        <v>1410</v>
      </c>
      <c r="CB24" t="s">
        <v>1174</v>
      </c>
      <c r="CC24" t="s">
        <v>1174</v>
      </c>
      <c r="CD24" s="52" t="e">
        <f ca="1">_xll.BDP($AY24&amp;" "&amp;$CA24,CD$3)</f>
        <v>#NAME?</v>
      </c>
      <c r="CE24" s="52" t="e">
        <f ca="1">_xll.BDP($AY24&amp;" "&amp;$CA24,CE$3)</f>
        <v>#NAME?</v>
      </c>
      <c r="CF24" s="52" t="e">
        <f ca="1">_xll.BDP($AY24&amp;" "&amp;$CA24,CF$3)</f>
        <v>#NAME?</v>
      </c>
      <c r="CG24" s="52" t="e">
        <f ca="1">_xll.BDP($AY24&amp;" "&amp;$CA24,CG$3)</f>
        <v>#NAME?</v>
      </c>
      <c r="CH24" s="52" t="e">
        <f ca="1">_xll.BDP($AY24&amp;" "&amp;$CA24,CH$3)</f>
        <v>#NAME?</v>
      </c>
      <c r="CI24" s="52" t="e">
        <f ca="1">_xll.BDP($AY24&amp;" "&amp;$CA24,CI$3)</f>
        <v>#NAME?</v>
      </c>
      <c r="CJ24" s="52" t="e">
        <f ca="1">_xll.BDP($AY24&amp;" "&amp;$CA24,CJ$3)</f>
        <v>#NAME?</v>
      </c>
      <c r="CK24" s="52" t="e">
        <f ca="1">_xll.BDP($AY24&amp;" "&amp;$CA24,CK$3)</f>
        <v>#NAME?</v>
      </c>
      <c r="CL24" s="52" t="e">
        <f ca="1">_xll.BDP($AY24&amp;" "&amp;$CA24,CL$3)</f>
        <v>#NAME?</v>
      </c>
      <c r="CM24" s="52" t="e">
        <f ca="1">_xll.BDP($AY24&amp;" "&amp;$CA24,CM$3)</f>
        <v>#NAME?</v>
      </c>
      <c r="CN24" s="52" t="e">
        <f ca="1">_xll.BDP($AY24&amp;" "&amp;$CA24,CN$3)</f>
        <v>#NAME?</v>
      </c>
      <c r="CO24" s="52" t="e">
        <f ca="1">_xll.BDP($AY24&amp;" "&amp;$CA24,CO$3)</f>
        <v>#NAME?</v>
      </c>
      <c r="CP24" s="52" t="e">
        <f ca="1">_xll.BDP($AY24&amp;" "&amp;$CA24,CP$3)</f>
        <v>#NAME?</v>
      </c>
      <c r="CQ24" s="52" t="e">
        <f ca="1">_xll.BDP($AY24&amp;" "&amp;$CA24,CQ$3)</f>
        <v>#NAME?</v>
      </c>
      <c r="CR24" s="52" t="e">
        <f ca="1">_xll.BDP($AY24&amp;" "&amp;$CA24,CR$3)</f>
        <v>#NAME?</v>
      </c>
      <c r="CS24" s="52" t="e">
        <f ca="1">_xll.BDP($AY24&amp;" "&amp;$CA24,CS$3)</f>
        <v>#NAME?</v>
      </c>
      <c r="CT24" s="52" t="e">
        <f ca="1">_xll.BDP($AY24&amp;" "&amp;$CA24,CT$3)</f>
        <v>#NAME?</v>
      </c>
      <c r="CU24" s="52" t="e">
        <f ca="1">_xll.BDP($CT24&amp;" EQUITY",CU$3)</f>
        <v>#NAME?</v>
      </c>
      <c r="CV24" s="52" t="e">
        <f ca="1">_xll.BDP($CT24&amp;" EQUITY",CV$3)</f>
        <v>#NAME?</v>
      </c>
      <c r="CW24" s="52" t="e">
        <f ca="1">_xll.BDP($CT24&amp;" EQUITY",CW$3)</f>
        <v>#NAME?</v>
      </c>
      <c r="CX24" s="52" t="e">
        <f ca="1">_xll.BDP($CT24&amp;" EQUITY",CX$3)</f>
        <v>#NAME?</v>
      </c>
      <c r="CY24" s="52" t="e">
        <f ca="1">_xll.BDH($CT24&amp;" EQUITY",CY$3,CY$2,CY$2)</f>
        <v>#NAME?</v>
      </c>
      <c r="CZ24" s="52" t="e">
        <f ca="1">_xll.BDH($CT24&amp;" EQUITY",CZ$3,CZ$2,CZ$2)</f>
        <v>#NAME?</v>
      </c>
      <c r="DA24" s="52" t="e">
        <f ca="1">_xll.BDH($CT24&amp;" EQUITY",DA$3,DA$2,DA$2)</f>
        <v>#NAME?</v>
      </c>
      <c r="DB24" s="52" t="e">
        <f ca="1">_xll.BDH($CT24&amp;" EQUITY",DB$3,DB$2,DB$2)</f>
        <v>#NAME?</v>
      </c>
      <c r="DC24" s="52" t="e">
        <f ca="1">_xll.BDH($CT24&amp;" EQUITY",DC$3,DC$2,DC$2)</f>
        <v>#NAME?</v>
      </c>
      <c r="DD24" s="52" t="e">
        <f ca="1">_xll.BDH($CT24&amp;" EQUITY",DD$3,DD$2,DD$2)</f>
        <v>#NAME?</v>
      </c>
      <c r="DE24" s="52" t="e">
        <f ca="1">_xll.BDH($CT24&amp;" EQUITY",DE$3,DE$2,DE$2)</f>
        <v>#NAME?</v>
      </c>
      <c r="DF24" s="52" t="e">
        <f ca="1">_xll.BDH($CT24&amp;" EQUITY",DF$3,DF$2,DF$2)</f>
        <v>#NAME?</v>
      </c>
      <c r="DG24" s="52" t="e">
        <f ca="1">_xll.BDH($CT24&amp;" EQUITY",DG$3,DG$2,DG$2)</f>
        <v>#NAME?</v>
      </c>
      <c r="DH24" s="52" t="e">
        <f ca="1">_xll.BDH($CT24&amp;" EQUITY",DH$3,DH$2,DH$2)</f>
        <v>#NAME?</v>
      </c>
      <c r="DI24" s="52" t="e">
        <f ca="1">_xll.BDH($CT24&amp;" EQUITY",DI$3,DI$2,DI$2)</f>
        <v>#NAME?</v>
      </c>
      <c r="DJ24" s="52" t="e">
        <f ca="1">_xll.BDH($CT24&amp;" EQUITY",DJ$3,DJ$2,DJ$2)</f>
        <v>#NAME?</v>
      </c>
    </row>
    <row r="25" spans="1:114" x14ac:dyDescent="0.25">
      <c r="A25" t="s">
        <v>1574</v>
      </c>
      <c r="D25">
        <v>214777135</v>
      </c>
      <c r="E25" t="s">
        <v>1215</v>
      </c>
      <c r="G25" t="s">
        <v>1251</v>
      </c>
      <c r="H25">
        <v>91017</v>
      </c>
      <c r="I25" t="s">
        <v>1254</v>
      </c>
      <c r="J25" t="s">
        <v>1252</v>
      </c>
      <c r="K25" t="s">
        <v>1404</v>
      </c>
      <c r="L25" t="s">
        <v>1575</v>
      </c>
      <c r="M25" t="s">
        <v>1250</v>
      </c>
      <c r="O25">
        <v>42654</v>
      </c>
      <c r="P25">
        <v>42654</v>
      </c>
      <c r="R25" t="s">
        <v>74</v>
      </c>
      <c r="S25">
        <v>-75000</v>
      </c>
      <c r="T25">
        <v>-75000</v>
      </c>
      <c r="W25">
        <v>-74852.399999999994</v>
      </c>
      <c r="Y25">
        <v>1</v>
      </c>
      <c r="Z25" t="s">
        <v>75</v>
      </c>
      <c r="AE25" t="s">
        <v>165</v>
      </c>
      <c r="AF25">
        <v>15.1595956634992</v>
      </c>
      <c r="AG25">
        <v>-15.162674087099701</v>
      </c>
      <c r="AH25">
        <v>0</v>
      </c>
      <c r="AI25">
        <v>0</v>
      </c>
      <c r="AJ25">
        <v>-0.65546035590523399</v>
      </c>
      <c r="AK25">
        <v>100</v>
      </c>
      <c r="AL25" t="s">
        <v>1576</v>
      </c>
      <c r="AO25" t="s">
        <v>92</v>
      </c>
      <c r="AP25" t="s">
        <v>93</v>
      </c>
      <c r="AQ25" t="s">
        <v>1577</v>
      </c>
      <c r="AT25">
        <v>-108.4182</v>
      </c>
      <c r="AU25">
        <v>225</v>
      </c>
      <c r="AX25" t="s">
        <v>76</v>
      </c>
      <c r="AY25" t="s">
        <v>1578</v>
      </c>
      <c r="BA25" t="s">
        <v>1253</v>
      </c>
      <c r="BG25">
        <v>500</v>
      </c>
      <c r="BH25">
        <v>505</v>
      </c>
      <c r="BI25" t="s">
        <v>1252</v>
      </c>
      <c r="BJ25" t="s">
        <v>1404</v>
      </c>
      <c r="BK25">
        <v>1</v>
      </c>
      <c r="CA25" t="s">
        <v>1410</v>
      </c>
      <c r="CB25" t="s">
        <v>1174</v>
      </c>
      <c r="CC25" t="s">
        <v>1174</v>
      </c>
      <c r="CD25" s="52" t="e">
        <f ca="1">_xll.BDP($AY25&amp;" "&amp;$CA25,CD$3)</f>
        <v>#NAME?</v>
      </c>
      <c r="CE25" s="52" t="e">
        <f ca="1">_xll.BDP($AY25&amp;" "&amp;$CA25,CE$3)</f>
        <v>#NAME?</v>
      </c>
      <c r="CF25" s="52" t="e">
        <f ca="1">_xll.BDP($AY25&amp;" "&amp;$CA25,CF$3)</f>
        <v>#NAME?</v>
      </c>
      <c r="CG25" s="52" t="e">
        <f ca="1">_xll.BDP($AY25&amp;" "&amp;$CA25,CG$3)</f>
        <v>#NAME?</v>
      </c>
      <c r="CH25" s="52" t="e">
        <f ca="1">_xll.BDP($AY25&amp;" "&amp;$CA25,CH$3)</f>
        <v>#NAME?</v>
      </c>
      <c r="CI25" s="52" t="e">
        <f ca="1">_xll.BDP($AY25&amp;" "&amp;$CA25,CI$3)</f>
        <v>#NAME?</v>
      </c>
      <c r="CJ25" s="52" t="e">
        <f ca="1">_xll.BDP($AY25&amp;" "&amp;$CA25,CJ$3)</f>
        <v>#NAME?</v>
      </c>
      <c r="CK25" s="52" t="e">
        <f ca="1">_xll.BDP($AY25&amp;" "&amp;$CA25,CK$3)</f>
        <v>#NAME?</v>
      </c>
      <c r="CL25" s="52" t="e">
        <f ca="1">_xll.BDP($AY25&amp;" "&amp;$CA25,CL$3)</f>
        <v>#NAME?</v>
      </c>
      <c r="CM25" s="52" t="e">
        <f ca="1">_xll.BDP($AY25&amp;" "&amp;$CA25,CM$3)</f>
        <v>#NAME?</v>
      </c>
      <c r="CN25" s="52" t="e">
        <f ca="1">_xll.BDP($AY25&amp;" "&amp;$CA25,CN$3)</f>
        <v>#NAME?</v>
      </c>
      <c r="CO25" s="52" t="e">
        <f ca="1">_xll.BDP($AY25&amp;" "&amp;$CA25,CO$3)</f>
        <v>#NAME?</v>
      </c>
      <c r="CP25" s="52" t="e">
        <f ca="1">_xll.BDP($AY25&amp;" "&amp;$CA25,CP$3)</f>
        <v>#NAME?</v>
      </c>
      <c r="CQ25" s="52" t="e">
        <f ca="1">_xll.BDP($AY25&amp;" "&amp;$CA25,CQ$3)</f>
        <v>#NAME?</v>
      </c>
      <c r="CR25" s="52" t="e">
        <f ca="1">_xll.BDP($AY25&amp;" "&amp;$CA25,CR$3)</f>
        <v>#NAME?</v>
      </c>
      <c r="CS25" s="52" t="e">
        <f ca="1">_xll.BDP($AY25&amp;" "&amp;$CA25,CS$3)</f>
        <v>#NAME?</v>
      </c>
      <c r="CT25" s="52" t="e">
        <f ca="1">_xll.BDP($AY25&amp;" "&amp;$CA25,CT$3)</f>
        <v>#NAME?</v>
      </c>
      <c r="CU25" s="52" t="e">
        <f ca="1">_xll.BDP($CT25&amp;" EQUITY",CU$3)</f>
        <v>#NAME?</v>
      </c>
      <c r="CV25" s="52" t="e">
        <f ca="1">_xll.BDP($CT25&amp;" EQUITY",CV$3)</f>
        <v>#NAME?</v>
      </c>
      <c r="CW25" s="52" t="e">
        <f ca="1">_xll.BDP($CT25&amp;" EQUITY",CW$3)</f>
        <v>#NAME?</v>
      </c>
      <c r="CX25" s="52" t="e">
        <f ca="1">_xll.BDP($CT25&amp;" EQUITY",CX$3)</f>
        <v>#NAME?</v>
      </c>
      <c r="CY25" s="52" t="e">
        <f ca="1">_xll.BDH($CT25&amp;" EQUITY",CY$3,CY$2,CY$2)</f>
        <v>#NAME?</v>
      </c>
      <c r="CZ25" s="52" t="e">
        <f ca="1">_xll.BDH($CT25&amp;" EQUITY",CZ$3,CZ$2,CZ$2)</f>
        <v>#NAME?</v>
      </c>
      <c r="DA25" s="52" t="e">
        <f ca="1">_xll.BDH($CT25&amp;" EQUITY",DA$3,DA$2,DA$2)</f>
        <v>#NAME?</v>
      </c>
      <c r="DB25" s="52" t="e">
        <f ca="1">_xll.BDH($CT25&amp;" EQUITY",DB$3,DB$2,DB$2)</f>
        <v>#NAME?</v>
      </c>
      <c r="DC25" s="52" t="e">
        <f ca="1">_xll.BDH($CT25&amp;" EQUITY",DC$3,DC$2,DC$2)</f>
        <v>#NAME?</v>
      </c>
      <c r="DD25" s="52" t="e">
        <f ca="1">_xll.BDH($CT25&amp;" EQUITY",DD$3,DD$2,DD$2)</f>
        <v>#NAME?</v>
      </c>
      <c r="DE25" s="52" t="e">
        <f ca="1">_xll.BDH($CT25&amp;" EQUITY",DE$3,DE$2,DE$2)</f>
        <v>#NAME?</v>
      </c>
      <c r="DF25" s="52" t="e">
        <f ca="1">_xll.BDH($CT25&amp;" EQUITY",DF$3,DF$2,DF$2)</f>
        <v>#NAME?</v>
      </c>
      <c r="DG25" s="52" t="e">
        <f ca="1">_xll.BDH($CT25&amp;" EQUITY",DG$3,DG$2,DG$2)</f>
        <v>#NAME?</v>
      </c>
      <c r="DH25" s="52" t="e">
        <f ca="1">_xll.BDH($CT25&amp;" EQUITY",DH$3,DH$2,DH$2)</f>
        <v>#NAME?</v>
      </c>
      <c r="DI25" s="52" t="e">
        <f ca="1">_xll.BDH($CT25&amp;" EQUITY",DI$3,DI$2,DI$2)</f>
        <v>#NAME?</v>
      </c>
      <c r="DJ25" s="52" t="e">
        <f ca="1">_xll.BDH($CT25&amp;" EQUITY",DJ$3,DJ$2,DJ$2)</f>
        <v>#NAME?</v>
      </c>
    </row>
    <row r="26" spans="1:114" x14ac:dyDescent="0.25">
      <c r="A26" t="s">
        <v>1579</v>
      </c>
      <c r="D26">
        <v>214777136</v>
      </c>
      <c r="E26" t="s">
        <v>1215</v>
      </c>
      <c r="G26" t="s">
        <v>1251</v>
      </c>
      <c r="H26">
        <v>91017</v>
      </c>
      <c r="I26" t="s">
        <v>1254</v>
      </c>
      <c r="J26" t="s">
        <v>1252</v>
      </c>
      <c r="K26" t="s">
        <v>1404</v>
      </c>
      <c r="L26" t="s">
        <v>1575</v>
      </c>
      <c r="M26" t="s">
        <v>1250</v>
      </c>
      <c r="O26">
        <v>43382</v>
      </c>
      <c r="P26">
        <v>43382</v>
      </c>
      <c r="R26" t="s">
        <v>74</v>
      </c>
      <c r="S26">
        <v>-65000</v>
      </c>
      <c r="T26">
        <v>-65000</v>
      </c>
      <c r="W26">
        <v>-64624.95</v>
      </c>
      <c r="Y26">
        <v>1</v>
      </c>
      <c r="Z26" t="s">
        <v>75</v>
      </c>
      <c r="AE26" t="s">
        <v>165</v>
      </c>
      <c r="AF26">
        <v>25.307112339898602</v>
      </c>
      <c r="AG26">
        <v>-25.317190198496998</v>
      </c>
      <c r="AH26">
        <v>0</v>
      </c>
      <c r="AI26">
        <v>0</v>
      </c>
      <c r="AJ26">
        <v>-0.73592984209972201</v>
      </c>
      <c r="AK26">
        <v>100</v>
      </c>
      <c r="AL26" t="s">
        <v>1580</v>
      </c>
      <c r="AO26" t="s">
        <v>92</v>
      </c>
      <c r="AP26" t="s">
        <v>93</v>
      </c>
      <c r="AQ26" t="s">
        <v>1581</v>
      </c>
      <c r="AT26">
        <v>-350.88380000000001</v>
      </c>
      <c r="AU26">
        <v>195</v>
      </c>
      <c r="AX26" t="s">
        <v>76</v>
      </c>
      <c r="AY26" t="s">
        <v>1582</v>
      </c>
      <c r="BA26" t="s">
        <v>1253</v>
      </c>
      <c r="BG26">
        <v>500</v>
      </c>
      <c r="BH26">
        <v>505</v>
      </c>
      <c r="BI26" t="s">
        <v>1252</v>
      </c>
      <c r="BJ26" t="s">
        <v>1404</v>
      </c>
      <c r="BK26">
        <v>1</v>
      </c>
      <c r="CA26" t="s">
        <v>1410</v>
      </c>
      <c r="CB26" t="s">
        <v>1174</v>
      </c>
      <c r="CC26" t="s">
        <v>1174</v>
      </c>
      <c r="CD26" s="52" t="e">
        <f ca="1">_xll.BDP($AY26&amp;" "&amp;$CA26,CD$3)</f>
        <v>#NAME?</v>
      </c>
      <c r="CE26" s="52" t="e">
        <f ca="1">_xll.BDP($AY26&amp;" "&amp;$CA26,CE$3)</f>
        <v>#NAME?</v>
      </c>
      <c r="CF26" s="52" t="e">
        <f ca="1">_xll.BDP($AY26&amp;" "&amp;$CA26,CF$3)</f>
        <v>#NAME?</v>
      </c>
      <c r="CG26" s="52" t="e">
        <f ca="1">_xll.BDP($AY26&amp;" "&amp;$CA26,CG$3)</f>
        <v>#NAME?</v>
      </c>
      <c r="CH26" s="52" t="e">
        <f ca="1">_xll.BDP($AY26&amp;" "&amp;$CA26,CH$3)</f>
        <v>#NAME?</v>
      </c>
      <c r="CI26" s="52" t="e">
        <f ca="1">_xll.BDP($AY26&amp;" "&amp;$CA26,CI$3)</f>
        <v>#NAME?</v>
      </c>
      <c r="CJ26" s="52" t="e">
        <f ca="1">_xll.BDP($AY26&amp;" "&amp;$CA26,CJ$3)</f>
        <v>#NAME?</v>
      </c>
      <c r="CK26" s="52" t="e">
        <f ca="1">_xll.BDP($AY26&amp;" "&amp;$CA26,CK$3)</f>
        <v>#NAME?</v>
      </c>
      <c r="CL26" s="52" t="e">
        <f ca="1">_xll.BDP($AY26&amp;" "&amp;$CA26,CL$3)</f>
        <v>#NAME?</v>
      </c>
      <c r="CM26" s="52" t="e">
        <f ca="1">_xll.BDP($AY26&amp;" "&amp;$CA26,CM$3)</f>
        <v>#NAME?</v>
      </c>
      <c r="CN26" s="52" t="e">
        <f ca="1">_xll.BDP($AY26&amp;" "&amp;$CA26,CN$3)</f>
        <v>#NAME?</v>
      </c>
      <c r="CO26" s="52" t="e">
        <f ca="1">_xll.BDP($AY26&amp;" "&amp;$CA26,CO$3)</f>
        <v>#NAME?</v>
      </c>
      <c r="CP26" s="52" t="e">
        <f ca="1">_xll.BDP($AY26&amp;" "&amp;$CA26,CP$3)</f>
        <v>#NAME?</v>
      </c>
      <c r="CQ26" s="52" t="e">
        <f ca="1">_xll.BDP($AY26&amp;" "&amp;$CA26,CQ$3)</f>
        <v>#NAME?</v>
      </c>
      <c r="CR26" s="52" t="e">
        <f ca="1">_xll.BDP($AY26&amp;" "&amp;$CA26,CR$3)</f>
        <v>#NAME?</v>
      </c>
      <c r="CS26" s="52" t="e">
        <f ca="1">_xll.BDP($AY26&amp;" "&amp;$CA26,CS$3)</f>
        <v>#NAME?</v>
      </c>
      <c r="CT26" s="52" t="e">
        <f ca="1">_xll.BDP($AY26&amp;" "&amp;$CA26,CT$3)</f>
        <v>#NAME?</v>
      </c>
      <c r="CU26" s="52" t="e">
        <f ca="1">_xll.BDP($CT26&amp;" EQUITY",CU$3)</f>
        <v>#NAME?</v>
      </c>
      <c r="CV26" s="52" t="e">
        <f ca="1">_xll.BDP($CT26&amp;" EQUITY",CV$3)</f>
        <v>#NAME?</v>
      </c>
      <c r="CW26" s="52" t="e">
        <f ca="1">_xll.BDP($CT26&amp;" EQUITY",CW$3)</f>
        <v>#NAME?</v>
      </c>
      <c r="CX26" s="52" t="e">
        <f ca="1">_xll.BDP($CT26&amp;" EQUITY",CX$3)</f>
        <v>#NAME?</v>
      </c>
      <c r="CY26" s="52" t="e">
        <f ca="1">_xll.BDH($CT26&amp;" EQUITY",CY$3,CY$2,CY$2)</f>
        <v>#NAME?</v>
      </c>
      <c r="CZ26" s="52" t="e">
        <f ca="1">_xll.BDH($CT26&amp;" EQUITY",CZ$3,CZ$2,CZ$2)</f>
        <v>#NAME?</v>
      </c>
      <c r="DA26" s="52" t="e">
        <f ca="1">_xll.BDH($CT26&amp;" EQUITY",DA$3,DA$2,DA$2)</f>
        <v>#NAME?</v>
      </c>
      <c r="DB26" s="52" t="e">
        <f ca="1">_xll.BDH($CT26&amp;" EQUITY",DB$3,DB$2,DB$2)</f>
        <v>#NAME?</v>
      </c>
      <c r="DC26" s="52" t="e">
        <f ca="1">_xll.BDH($CT26&amp;" EQUITY",DC$3,DC$2,DC$2)</f>
        <v>#NAME?</v>
      </c>
      <c r="DD26" s="52" t="e">
        <f ca="1">_xll.BDH($CT26&amp;" EQUITY",DD$3,DD$2,DD$2)</f>
        <v>#NAME?</v>
      </c>
      <c r="DE26" s="52" t="e">
        <f ca="1">_xll.BDH($CT26&amp;" EQUITY",DE$3,DE$2,DE$2)</f>
        <v>#NAME?</v>
      </c>
      <c r="DF26" s="52" t="e">
        <f ca="1">_xll.BDH($CT26&amp;" EQUITY",DF$3,DF$2,DF$2)</f>
        <v>#NAME?</v>
      </c>
      <c r="DG26" s="52" t="e">
        <f ca="1">_xll.BDH($CT26&amp;" EQUITY",DG$3,DG$2,DG$2)</f>
        <v>#NAME?</v>
      </c>
      <c r="DH26" s="52" t="e">
        <f ca="1">_xll.BDH($CT26&amp;" EQUITY",DH$3,DH$2,DH$2)</f>
        <v>#NAME?</v>
      </c>
      <c r="DI26" s="52" t="e">
        <f ca="1">_xll.BDH($CT26&amp;" EQUITY",DI$3,DI$2,DI$2)</f>
        <v>#NAME?</v>
      </c>
      <c r="DJ26" s="52" t="e">
        <f ca="1">_xll.BDH($CT26&amp;" EQUITY",DJ$3,DJ$2,DJ$2)</f>
        <v>#NAME?</v>
      </c>
    </row>
    <row r="27" spans="1:114" x14ac:dyDescent="0.25">
      <c r="A27" t="s">
        <v>1583</v>
      </c>
      <c r="D27">
        <v>214777141</v>
      </c>
      <c r="E27" t="s">
        <v>1215</v>
      </c>
      <c r="G27" t="s">
        <v>1251</v>
      </c>
      <c r="H27">
        <v>91017</v>
      </c>
      <c r="I27" t="s">
        <v>1254</v>
      </c>
      <c r="J27" t="s">
        <v>1252</v>
      </c>
      <c r="K27" t="s">
        <v>1404</v>
      </c>
      <c r="L27" t="s">
        <v>1584</v>
      </c>
      <c r="M27" t="s">
        <v>1250</v>
      </c>
      <c r="O27">
        <v>43753</v>
      </c>
      <c r="P27">
        <v>43753</v>
      </c>
      <c r="R27" t="s">
        <v>74</v>
      </c>
      <c r="S27">
        <v>-26000</v>
      </c>
      <c r="T27">
        <v>-26000</v>
      </c>
      <c r="W27">
        <v>-25710.62</v>
      </c>
      <c r="Y27">
        <v>1</v>
      </c>
      <c r="Z27" t="s">
        <v>75</v>
      </c>
      <c r="AE27" t="s">
        <v>165</v>
      </c>
      <c r="AF27">
        <v>12.4005986554985</v>
      </c>
      <c r="AG27">
        <v>-12.406742947299801</v>
      </c>
      <c r="AH27">
        <v>0</v>
      </c>
      <c r="AI27">
        <v>0</v>
      </c>
      <c r="AJ27">
        <v>-0.414653638599702</v>
      </c>
      <c r="AK27">
        <v>100</v>
      </c>
      <c r="AL27" t="s">
        <v>1585</v>
      </c>
      <c r="AO27" t="s">
        <v>92</v>
      </c>
      <c r="AP27" t="s">
        <v>93</v>
      </c>
      <c r="AQ27" t="s">
        <v>1586</v>
      </c>
      <c r="AT27">
        <v>-159.46969999999999</v>
      </c>
      <c r="AU27">
        <v>78</v>
      </c>
      <c r="AX27" t="s">
        <v>76</v>
      </c>
      <c r="AY27" t="s">
        <v>1587</v>
      </c>
      <c r="BA27" t="s">
        <v>1253</v>
      </c>
      <c r="BG27">
        <v>500</v>
      </c>
      <c r="BH27">
        <v>505</v>
      </c>
      <c r="BI27" t="s">
        <v>1252</v>
      </c>
      <c r="BJ27" t="s">
        <v>1404</v>
      </c>
      <c r="BK27">
        <v>1</v>
      </c>
      <c r="CA27" t="s">
        <v>1410</v>
      </c>
      <c r="CB27" t="s">
        <v>1174</v>
      </c>
      <c r="CC27" t="s">
        <v>1174</v>
      </c>
      <c r="CD27" s="52" t="e">
        <f ca="1">_xll.BDP($AY27&amp;" "&amp;$CA27,CD$3)</f>
        <v>#NAME?</v>
      </c>
      <c r="CE27" s="52" t="e">
        <f ca="1">_xll.BDP($AY27&amp;" "&amp;$CA27,CE$3)</f>
        <v>#NAME?</v>
      </c>
      <c r="CF27" s="52" t="e">
        <f ca="1">_xll.BDP($AY27&amp;" "&amp;$CA27,CF$3)</f>
        <v>#NAME?</v>
      </c>
      <c r="CG27" s="52" t="e">
        <f ca="1">_xll.BDP($AY27&amp;" "&amp;$CA27,CG$3)</f>
        <v>#NAME?</v>
      </c>
      <c r="CH27" s="52" t="e">
        <f ca="1">_xll.BDP($AY27&amp;" "&amp;$CA27,CH$3)</f>
        <v>#NAME?</v>
      </c>
      <c r="CI27" s="52" t="e">
        <f ca="1">_xll.BDP($AY27&amp;" "&amp;$CA27,CI$3)</f>
        <v>#NAME?</v>
      </c>
      <c r="CJ27" s="52" t="e">
        <f ca="1">_xll.BDP($AY27&amp;" "&amp;$CA27,CJ$3)</f>
        <v>#NAME?</v>
      </c>
      <c r="CK27" s="52" t="e">
        <f ca="1">_xll.BDP($AY27&amp;" "&amp;$CA27,CK$3)</f>
        <v>#NAME?</v>
      </c>
      <c r="CL27" s="52" t="e">
        <f ca="1">_xll.BDP($AY27&amp;" "&amp;$CA27,CL$3)</f>
        <v>#NAME?</v>
      </c>
      <c r="CM27" s="52" t="e">
        <f ca="1">_xll.BDP($AY27&amp;" "&amp;$CA27,CM$3)</f>
        <v>#NAME?</v>
      </c>
      <c r="CN27" s="52" t="e">
        <f ca="1">_xll.BDP($AY27&amp;" "&amp;$CA27,CN$3)</f>
        <v>#NAME?</v>
      </c>
      <c r="CO27" s="52" t="e">
        <f ca="1">_xll.BDP($AY27&amp;" "&amp;$CA27,CO$3)</f>
        <v>#NAME?</v>
      </c>
      <c r="CP27" s="52" t="e">
        <f ca="1">_xll.BDP($AY27&amp;" "&amp;$CA27,CP$3)</f>
        <v>#NAME?</v>
      </c>
      <c r="CQ27" s="52" t="e">
        <f ca="1">_xll.BDP($AY27&amp;" "&amp;$CA27,CQ$3)</f>
        <v>#NAME?</v>
      </c>
      <c r="CR27" s="52" t="e">
        <f ca="1">_xll.BDP($AY27&amp;" "&amp;$CA27,CR$3)</f>
        <v>#NAME?</v>
      </c>
      <c r="CS27" s="52" t="e">
        <f ca="1">_xll.BDP($AY27&amp;" "&amp;$CA27,CS$3)</f>
        <v>#NAME?</v>
      </c>
      <c r="CT27" s="52" t="e">
        <f ca="1">_xll.BDP($AY27&amp;" "&amp;$CA27,CT$3)</f>
        <v>#NAME?</v>
      </c>
      <c r="CU27" s="52" t="e">
        <f ca="1">_xll.BDP($CT27&amp;" EQUITY",CU$3)</f>
        <v>#NAME?</v>
      </c>
      <c r="CV27" s="52" t="e">
        <f ca="1">_xll.BDP($CT27&amp;" EQUITY",CV$3)</f>
        <v>#NAME?</v>
      </c>
      <c r="CW27" s="52" t="e">
        <f ca="1">_xll.BDP($CT27&amp;" EQUITY",CW$3)</f>
        <v>#NAME?</v>
      </c>
      <c r="CX27" s="52" t="e">
        <f ca="1">_xll.BDP($CT27&amp;" EQUITY",CX$3)</f>
        <v>#NAME?</v>
      </c>
      <c r="CY27" s="52" t="e">
        <f ca="1">_xll.BDH($CT27&amp;" EQUITY",CY$3,CY$2,CY$2)</f>
        <v>#NAME?</v>
      </c>
      <c r="CZ27" s="52" t="e">
        <f ca="1">_xll.BDH($CT27&amp;" EQUITY",CZ$3,CZ$2,CZ$2)</f>
        <v>#NAME?</v>
      </c>
      <c r="DA27" s="52" t="e">
        <f ca="1">_xll.BDH($CT27&amp;" EQUITY",DA$3,DA$2,DA$2)</f>
        <v>#NAME?</v>
      </c>
      <c r="DB27" s="52" t="e">
        <f ca="1">_xll.BDH($CT27&amp;" EQUITY",DB$3,DB$2,DB$2)</f>
        <v>#NAME?</v>
      </c>
      <c r="DC27" s="52" t="e">
        <f ca="1">_xll.BDH($CT27&amp;" EQUITY",DC$3,DC$2,DC$2)</f>
        <v>#NAME?</v>
      </c>
      <c r="DD27" s="52" t="e">
        <f ca="1">_xll.BDH($CT27&amp;" EQUITY",DD$3,DD$2,DD$2)</f>
        <v>#NAME?</v>
      </c>
      <c r="DE27" s="52" t="e">
        <f ca="1">_xll.BDH($CT27&amp;" EQUITY",DE$3,DE$2,DE$2)</f>
        <v>#NAME?</v>
      </c>
      <c r="DF27" s="52" t="e">
        <f ca="1">_xll.BDH($CT27&amp;" EQUITY",DF$3,DF$2,DF$2)</f>
        <v>#NAME?</v>
      </c>
      <c r="DG27" s="52" t="e">
        <f ca="1">_xll.BDH($CT27&amp;" EQUITY",DG$3,DG$2,DG$2)</f>
        <v>#NAME?</v>
      </c>
      <c r="DH27" s="52" t="e">
        <f ca="1">_xll.BDH($CT27&amp;" EQUITY",DH$3,DH$2,DH$2)</f>
        <v>#NAME?</v>
      </c>
      <c r="DI27" s="52" t="e">
        <f ca="1">_xll.BDH($CT27&amp;" EQUITY",DI$3,DI$2,DI$2)</f>
        <v>#NAME?</v>
      </c>
      <c r="DJ27" s="52" t="e">
        <f ca="1">_xll.BDH($CT27&amp;" EQUITY",DJ$3,DJ$2,DJ$2)</f>
        <v>#NAME?</v>
      </c>
    </row>
    <row r="28" spans="1:114" x14ac:dyDescent="0.25">
      <c r="A28" t="s">
        <v>1588</v>
      </c>
      <c r="D28">
        <v>214777106</v>
      </c>
      <c r="E28" t="s">
        <v>1215</v>
      </c>
      <c r="G28" t="s">
        <v>1251</v>
      </c>
      <c r="H28">
        <v>91017</v>
      </c>
      <c r="I28" t="s">
        <v>1254</v>
      </c>
      <c r="J28" t="s">
        <v>1252</v>
      </c>
      <c r="K28" t="s">
        <v>1405</v>
      </c>
      <c r="L28" t="s">
        <v>1465</v>
      </c>
      <c r="M28" t="s">
        <v>1250</v>
      </c>
      <c r="O28">
        <v>42011</v>
      </c>
      <c r="P28">
        <v>42011</v>
      </c>
      <c r="R28" t="s">
        <v>74</v>
      </c>
      <c r="S28">
        <v>-249000</v>
      </c>
      <c r="T28">
        <v>-249000</v>
      </c>
      <c r="W28">
        <v>-248910.36</v>
      </c>
      <c r="Y28">
        <v>1</v>
      </c>
      <c r="Z28" t="s">
        <v>75</v>
      </c>
      <c r="AE28" t="s">
        <v>1406</v>
      </c>
      <c r="AF28">
        <v>6.8193685009900902</v>
      </c>
      <c r="AG28">
        <v>-6.8195553360274097</v>
      </c>
      <c r="AH28">
        <v>0</v>
      </c>
      <c r="AI28">
        <v>0</v>
      </c>
      <c r="AJ28">
        <v>-1.7568323370069301</v>
      </c>
      <c r="AK28">
        <v>100</v>
      </c>
      <c r="AL28" t="s">
        <v>1589</v>
      </c>
      <c r="AO28" t="s">
        <v>92</v>
      </c>
      <c r="AP28" t="s">
        <v>93</v>
      </c>
      <c r="AQ28" t="s">
        <v>1590</v>
      </c>
      <c r="AT28">
        <v>-21.2865</v>
      </c>
      <c r="AU28">
        <v>747</v>
      </c>
      <c r="AX28" t="s">
        <v>76</v>
      </c>
      <c r="AY28" t="s">
        <v>1591</v>
      </c>
      <c r="BA28" t="s">
        <v>1253</v>
      </c>
      <c r="BG28">
        <v>500</v>
      </c>
      <c r="BH28">
        <v>506</v>
      </c>
      <c r="BI28" t="s">
        <v>1252</v>
      </c>
      <c r="BJ28" t="s">
        <v>1405</v>
      </c>
      <c r="BK28">
        <v>1</v>
      </c>
      <c r="CA28" t="s">
        <v>1410</v>
      </c>
      <c r="CB28" t="s">
        <v>1174</v>
      </c>
      <c r="CC28" t="s">
        <v>1174</v>
      </c>
      <c r="CD28" s="52" t="e">
        <f ca="1">_xll.BDP($AY28&amp;" "&amp;$CA28,CD$3)</f>
        <v>#NAME?</v>
      </c>
      <c r="CE28" s="52" t="e">
        <f ca="1">_xll.BDP($AY28&amp;" "&amp;$CA28,CE$3)</f>
        <v>#NAME?</v>
      </c>
      <c r="CF28" s="52" t="e">
        <f ca="1">_xll.BDP($AY28&amp;" "&amp;$CA28,CF$3)</f>
        <v>#NAME?</v>
      </c>
      <c r="CG28" s="52" t="e">
        <f ca="1">_xll.BDP($AY28&amp;" "&amp;$CA28,CG$3)</f>
        <v>#NAME?</v>
      </c>
      <c r="CH28" s="52" t="e">
        <f ca="1">_xll.BDP($AY28&amp;" "&amp;$CA28,CH$3)</f>
        <v>#NAME?</v>
      </c>
      <c r="CI28" s="52" t="e">
        <f ca="1">_xll.BDP($AY28&amp;" "&amp;$CA28,CI$3)</f>
        <v>#NAME?</v>
      </c>
      <c r="CJ28" s="52" t="e">
        <f ca="1">_xll.BDP($AY28&amp;" "&amp;$CA28,CJ$3)</f>
        <v>#NAME?</v>
      </c>
      <c r="CK28" s="52" t="e">
        <f ca="1">_xll.BDP($AY28&amp;" "&amp;$CA28,CK$3)</f>
        <v>#NAME?</v>
      </c>
      <c r="CL28" s="52" t="e">
        <f ca="1">_xll.BDP($AY28&amp;" "&amp;$CA28,CL$3)</f>
        <v>#NAME?</v>
      </c>
      <c r="CM28" s="52" t="e">
        <f ca="1">_xll.BDP($AY28&amp;" "&amp;$CA28,CM$3)</f>
        <v>#NAME?</v>
      </c>
      <c r="CN28" s="52" t="e">
        <f ca="1">_xll.BDP($AY28&amp;" "&amp;$CA28,CN$3)</f>
        <v>#NAME?</v>
      </c>
      <c r="CO28" s="52" t="e">
        <f ca="1">_xll.BDP($AY28&amp;" "&amp;$CA28,CO$3)</f>
        <v>#NAME?</v>
      </c>
      <c r="CP28" s="52" t="e">
        <f ca="1">_xll.BDP($AY28&amp;" "&amp;$CA28,CP$3)</f>
        <v>#NAME?</v>
      </c>
      <c r="CQ28" s="52" t="e">
        <f ca="1">_xll.BDP($AY28&amp;" "&amp;$CA28,CQ$3)</f>
        <v>#NAME?</v>
      </c>
      <c r="CR28" s="52" t="e">
        <f ca="1">_xll.BDP($AY28&amp;" "&amp;$CA28,CR$3)</f>
        <v>#NAME?</v>
      </c>
      <c r="CS28" s="52" t="e">
        <f ca="1">_xll.BDP($AY28&amp;" "&amp;$CA28,CS$3)</f>
        <v>#NAME?</v>
      </c>
      <c r="CT28" s="52" t="e">
        <f ca="1">_xll.BDP($AY28&amp;" "&amp;$CA28,CT$3)</f>
        <v>#NAME?</v>
      </c>
      <c r="CU28" s="52" t="e">
        <f ca="1">_xll.BDP($CT28&amp;" EQUITY",CU$3)</f>
        <v>#NAME?</v>
      </c>
      <c r="CV28" s="52" t="e">
        <f ca="1">_xll.BDP($CT28&amp;" EQUITY",CV$3)</f>
        <v>#NAME?</v>
      </c>
      <c r="CW28" s="52" t="e">
        <f ca="1">_xll.BDP($CT28&amp;" EQUITY",CW$3)</f>
        <v>#NAME?</v>
      </c>
      <c r="CX28" s="52" t="e">
        <f ca="1">_xll.BDP($CT28&amp;" EQUITY",CX$3)</f>
        <v>#NAME?</v>
      </c>
      <c r="CY28" s="52" t="e">
        <f ca="1">_xll.BDH($CT28&amp;" EQUITY",CY$3,CY$2,CY$2)</f>
        <v>#NAME?</v>
      </c>
      <c r="CZ28" s="52" t="e">
        <f ca="1">_xll.BDH($CT28&amp;" EQUITY",CZ$3,CZ$2,CZ$2)</f>
        <v>#NAME?</v>
      </c>
      <c r="DA28" s="52" t="e">
        <f ca="1">_xll.BDH($CT28&amp;" EQUITY",DA$3,DA$2,DA$2)</f>
        <v>#NAME?</v>
      </c>
      <c r="DB28" s="52" t="e">
        <f ca="1">_xll.BDH($CT28&amp;" EQUITY",DB$3,DB$2,DB$2)</f>
        <v>#NAME?</v>
      </c>
      <c r="DC28" s="52" t="e">
        <f ca="1">_xll.BDH($CT28&amp;" EQUITY",DC$3,DC$2,DC$2)</f>
        <v>#NAME?</v>
      </c>
      <c r="DD28" s="52" t="e">
        <f ca="1">_xll.BDH($CT28&amp;" EQUITY",DD$3,DD$2,DD$2)</f>
        <v>#NAME?</v>
      </c>
      <c r="DE28" s="52" t="e">
        <f ca="1">_xll.BDH($CT28&amp;" EQUITY",DE$3,DE$2,DE$2)</f>
        <v>#NAME?</v>
      </c>
      <c r="DF28" s="52" t="e">
        <f ca="1">_xll.BDH($CT28&amp;" EQUITY",DF$3,DF$2,DF$2)</f>
        <v>#NAME?</v>
      </c>
      <c r="DG28" s="52" t="e">
        <f ca="1">_xll.BDH($CT28&amp;" EQUITY",DG$3,DG$2,DG$2)</f>
        <v>#NAME?</v>
      </c>
      <c r="DH28" s="52" t="e">
        <f ca="1">_xll.BDH($CT28&amp;" EQUITY",DH$3,DH$2,DH$2)</f>
        <v>#NAME?</v>
      </c>
      <c r="DI28" s="52" t="e">
        <f ca="1">_xll.BDH($CT28&amp;" EQUITY",DI$3,DI$2,DI$2)</f>
        <v>#NAME?</v>
      </c>
      <c r="DJ28" s="52" t="e">
        <f ca="1">_xll.BDH($CT28&amp;" EQUITY",DJ$3,DJ$2,DJ$2)</f>
        <v>#NAME?</v>
      </c>
    </row>
    <row r="29" spans="1:114" x14ac:dyDescent="0.25">
      <c r="A29" t="s">
        <v>1592</v>
      </c>
      <c r="D29">
        <v>214777107</v>
      </c>
      <c r="E29" t="s">
        <v>1215</v>
      </c>
      <c r="G29" t="s">
        <v>1251</v>
      </c>
      <c r="H29">
        <v>91017</v>
      </c>
      <c r="I29" t="s">
        <v>1254</v>
      </c>
      <c r="J29" t="s">
        <v>1252</v>
      </c>
      <c r="K29" t="s">
        <v>1405</v>
      </c>
      <c r="L29" t="s">
        <v>1465</v>
      </c>
      <c r="M29" t="s">
        <v>1250</v>
      </c>
      <c r="O29">
        <v>42011</v>
      </c>
      <c r="P29">
        <v>42011</v>
      </c>
      <c r="R29" t="s">
        <v>74</v>
      </c>
      <c r="S29">
        <v>-29000</v>
      </c>
      <c r="T29">
        <v>-29000</v>
      </c>
      <c r="W29">
        <v>-28996.52</v>
      </c>
      <c r="Y29">
        <v>1</v>
      </c>
      <c r="Z29" t="s">
        <v>75</v>
      </c>
      <c r="AE29" t="s">
        <v>1406</v>
      </c>
      <c r="AF29">
        <v>0.79441432300154702</v>
      </c>
      <c r="AG29">
        <v>-0.79443608810106503</v>
      </c>
      <c r="AH29">
        <v>0</v>
      </c>
      <c r="AI29">
        <v>0</v>
      </c>
      <c r="AJ29">
        <v>-0.206300679899869</v>
      </c>
      <c r="AK29">
        <v>100</v>
      </c>
      <c r="AL29" t="s">
        <v>1593</v>
      </c>
      <c r="AO29" t="s">
        <v>92</v>
      </c>
      <c r="AP29" t="s">
        <v>93</v>
      </c>
      <c r="AQ29" t="s">
        <v>1594</v>
      </c>
      <c r="AT29">
        <v>-2.4796999999999998</v>
      </c>
      <c r="AU29">
        <v>87</v>
      </c>
      <c r="AX29" t="s">
        <v>76</v>
      </c>
      <c r="AY29" t="s">
        <v>1595</v>
      </c>
      <c r="BA29" t="s">
        <v>1253</v>
      </c>
      <c r="BG29">
        <v>500</v>
      </c>
      <c r="BH29">
        <v>506</v>
      </c>
      <c r="BI29" t="s">
        <v>1252</v>
      </c>
      <c r="BJ29" t="s">
        <v>1405</v>
      </c>
      <c r="BK29">
        <v>1</v>
      </c>
      <c r="CA29" t="s">
        <v>1410</v>
      </c>
      <c r="CB29" t="s">
        <v>1174</v>
      </c>
      <c r="CC29" t="s">
        <v>1174</v>
      </c>
      <c r="CD29" s="52" t="e">
        <f ca="1">_xll.BDP($AY29&amp;" "&amp;$CA29,CD$3)</f>
        <v>#NAME?</v>
      </c>
      <c r="CE29" s="52" t="e">
        <f ca="1">_xll.BDP($AY29&amp;" "&amp;$CA29,CE$3)</f>
        <v>#NAME?</v>
      </c>
      <c r="CF29" s="52" t="e">
        <f ca="1">_xll.BDP($AY29&amp;" "&amp;$CA29,CF$3)</f>
        <v>#NAME?</v>
      </c>
      <c r="CG29" s="52" t="e">
        <f ca="1">_xll.BDP($AY29&amp;" "&amp;$CA29,CG$3)</f>
        <v>#NAME?</v>
      </c>
      <c r="CH29" s="52" t="e">
        <f ca="1">_xll.BDP($AY29&amp;" "&amp;$CA29,CH$3)</f>
        <v>#NAME?</v>
      </c>
      <c r="CI29" s="52" t="e">
        <f ca="1">_xll.BDP($AY29&amp;" "&amp;$CA29,CI$3)</f>
        <v>#NAME?</v>
      </c>
      <c r="CJ29" s="52" t="e">
        <f ca="1">_xll.BDP($AY29&amp;" "&amp;$CA29,CJ$3)</f>
        <v>#NAME?</v>
      </c>
      <c r="CK29" s="52" t="e">
        <f ca="1">_xll.BDP($AY29&amp;" "&amp;$CA29,CK$3)</f>
        <v>#NAME?</v>
      </c>
      <c r="CL29" s="52" t="e">
        <f ca="1">_xll.BDP($AY29&amp;" "&amp;$CA29,CL$3)</f>
        <v>#NAME?</v>
      </c>
      <c r="CM29" s="52" t="e">
        <f ca="1">_xll.BDP($AY29&amp;" "&amp;$CA29,CM$3)</f>
        <v>#NAME?</v>
      </c>
      <c r="CN29" s="52" t="e">
        <f ca="1">_xll.BDP($AY29&amp;" "&amp;$CA29,CN$3)</f>
        <v>#NAME?</v>
      </c>
      <c r="CO29" s="52" t="e">
        <f ca="1">_xll.BDP($AY29&amp;" "&amp;$CA29,CO$3)</f>
        <v>#NAME?</v>
      </c>
      <c r="CP29" s="52" t="e">
        <f ca="1">_xll.BDP($AY29&amp;" "&amp;$CA29,CP$3)</f>
        <v>#NAME?</v>
      </c>
      <c r="CQ29" s="52" t="e">
        <f ca="1">_xll.BDP($AY29&amp;" "&amp;$CA29,CQ$3)</f>
        <v>#NAME?</v>
      </c>
      <c r="CR29" s="52" t="e">
        <f ca="1">_xll.BDP($AY29&amp;" "&amp;$CA29,CR$3)</f>
        <v>#NAME?</v>
      </c>
      <c r="CS29" s="52" t="e">
        <f ca="1">_xll.BDP($AY29&amp;" "&amp;$CA29,CS$3)</f>
        <v>#NAME?</v>
      </c>
      <c r="CT29" s="52" t="e">
        <f ca="1">_xll.BDP($AY29&amp;" "&amp;$CA29,CT$3)</f>
        <v>#NAME?</v>
      </c>
      <c r="CU29" s="52" t="e">
        <f ca="1">_xll.BDP($CT29&amp;" EQUITY",CU$3)</f>
        <v>#NAME?</v>
      </c>
      <c r="CV29" s="52" t="e">
        <f ca="1">_xll.BDP($CT29&amp;" EQUITY",CV$3)</f>
        <v>#NAME?</v>
      </c>
      <c r="CW29" s="52" t="e">
        <f ca="1">_xll.BDP($CT29&amp;" EQUITY",CW$3)</f>
        <v>#NAME?</v>
      </c>
      <c r="CX29" s="52" t="e">
        <f ca="1">_xll.BDP($CT29&amp;" EQUITY",CX$3)</f>
        <v>#NAME?</v>
      </c>
      <c r="CY29" s="52" t="e">
        <f ca="1">_xll.BDH($CT29&amp;" EQUITY",CY$3,CY$2,CY$2)</f>
        <v>#NAME?</v>
      </c>
      <c r="CZ29" s="52" t="e">
        <f ca="1">_xll.BDH($CT29&amp;" EQUITY",CZ$3,CZ$2,CZ$2)</f>
        <v>#NAME?</v>
      </c>
      <c r="DA29" s="52" t="e">
        <f ca="1">_xll.BDH($CT29&amp;" EQUITY",DA$3,DA$2,DA$2)</f>
        <v>#NAME?</v>
      </c>
      <c r="DB29" s="52" t="e">
        <f ca="1">_xll.BDH($CT29&amp;" EQUITY",DB$3,DB$2,DB$2)</f>
        <v>#NAME?</v>
      </c>
      <c r="DC29" s="52" t="e">
        <f ca="1">_xll.BDH($CT29&amp;" EQUITY",DC$3,DC$2,DC$2)</f>
        <v>#NAME?</v>
      </c>
      <c r="DD29" s="52" t="e">
        <f ca="1">_xll.BDH($CT29&amp;" EQUITY",DD$3,DD$2,DD$2)</f>
        <v>#NAME?</v>
      </c>
      <c r="DE29" s="52" t="e">
        <f ca="1">_xll.BDH($CT29&amp;" EQUITY",DE$3,DE$2,DE$2)</f>
        <v>#NAME?</v>
      </c>
      <c r="DF29" s="52" t="e">
        <f ca="1">_xll.BDH($CT29&amp;" EQUITY",DF$3,DF$2,DF$2)</f>
        <v>#NAME?</v>
      </c>
      <c r="DG29" s="52" t="e">
        <f ca="1">_xll.BDH($CT29&amp;" EQUITY",DG$3,DG$2,DG$2)</f>
        <v>#NAME?</v>
      </c>
      <c r="DH29" s="52" t="e">
        <f ca="1">_xll.BDH($CT29&amp;" EQUITY",DH$3,DH$2,DH$2)</f>
        <v>#NAME?</v>
      </c>
      <c r="DI29" s="52" t="e">
        <f ca="1">_xll.BDH($CT29&amp;" EQUITY",DI$3,DI$2,DI$2)</f>
        <v>#NAME?</v>
      </c>
      <c r="DJ29" s="52" t="e">
        <f ca="1">_xll.BDH($CT29&amp;" EQUITY",DJ$3,DJ$2,DJ$2)</f>
        <v>#NAME?</v>
      </c>
    </row>
    <row r="30" spans="1:114" x14ac:dyDescent="0.25">
      <c r="A30" t="s">
        <v>1596</v>
      </c>
      <c r="D30">
        <v>214777108</v>
      </c>
      <c r="E30" t="s">
        <v>1215</v>
      </c>
      <c r="G30" t="s">
        <v>1251</v>
      </c>
      <c r="H30">
        <v>91017</v>
      </c>
      <c r="I30" t="s">
        <v>1254</v>
      </c>
      <c r="J30" t="s">
        <v>1252</v>
      </c>
      <c r="K30" t="s">
        <v>1405</v>
      </c>
      <c r="L30" t="s">
        <v>1597</v>
      </c>
      <c r="M30" t="s">
        <v>1250</v>
      </c>
      <c r="O30">
        <v>42102</v>
      </c>
      <c r="P30">
        <v>42102</v>
      </c>
      <c r="R30" t="s">
        <v>74</v>
      </c>
      <c r="S30">
        <v>-200000</v>
      </c>
      <c r="T30">
        <v>-200000</v>
      </c>
      <c r="W30">
        <v>-199950</v>
      </c>
      <c r="Y30">
        <v>1</v>
      </c>
      <c r="Z30" t="s">
        <v>75</v>
      </c>
      <c r="AE30" t="s">
        <v>1406</v>
      </c>
      <c r="AF30">
        <v>10.462863229011401</v>
      </c>
      <c r="AG30">
        <v>-10.463410753000099</v>
      </c>
      <c r="AH30">
        <v>0</v>
      </c>
      <c r="AI30">
        <v>0</v>
      </c>
      <c r="AJ30">
        <v>-1.1488759359926899</v>
      </c>
      <c r="AK30">
        <v>100</v>
      </c>
      <c r="AL30" t="s">
        <v>1598</v>
      </c>
      <c r="AO30" t="s">
        <v>92</v>
      </c>
      <c r="AP30" t="s">
        <v>93</v>
      </c>
      <c r="AQ30" t="s">
        <v>1599</v>
      </c>
      <c r="AT30">
        <v>-82.277000000000001</v>
      </c>
      <c r="AU30">
        <v>600</v>
      </c>
      <c r="AX30" t="s">
        <v>76</v>
      </c>
      <c r="AY30" t="s">
        <v>1600</v>
      </c>
      <c r="BA30" t="s">
        <v>1253</v>
      </c>
      <c r="BG30">
        <v>500</v>
      </c>
      <c r="BH30">
        <v>506</v>
      </c>
      <c r="BI30" t="s">
        <v>1252</v>
      </c>
      <c r="BJ30" t="s">
        <v>1405</v>
      </c>
      <c r="BK30">
        <v>1</v>
      </c>
      <c r="CA30" t="s">
        <v>1410</v>
      </c>
      <c r="CB30" t="s">
        <v>1174</v>
      </c>
      <c r="CC30" t="s">
        <v>1174</v>
      </c>
      <c r="CD30" s="52" t="e">
        <f ca="1">_xll.BDP($AY30&amp;" "&amp;$CA30,CD$3)</f>
        <v>#NAME?</v>
      </c>
      <c r="CE30" s="52" t="e">
        <f ca="1">_xll.BDP($AY30&amp;" "&amp;$CA30,CE$3)</f>
        <v>#NAME?</v>
      </c>
      <c r="CF30" s="52" t="e">
        <f ca="1">_xll.BDP($AY30&amp;" "&amp;$CA30,CF$3)</f>
        <v>#NAME?</v>
      </c>
      <c r="CG30" s="52" t="e">
        <f ca="1">_xll.BDP($AY30&amp;" "&amp;$CA30,CG$3)</f>
        <v>#NAME?</v>
      </c>
      <c r="CH30" s="52" t="e">
        <f ca="1">_xll.BDP($AY30&amp;" "&amp;$CA30,CH$3)</f>
        <v>#NAME?</v>
      </c>
      <c r="CI30" s="52" t="e">
        <f ca="1">_xll.BDP($AY30&amp;" "&amp;$CA30,CI$3)</f>
        <v>#NAME?</v>
      </c>
      <c r="CJ30" s="52" t="e">
        <f ca="1">_xll.BDP($AY30&amp;" "&amp;$CA30,CJ$3)</f>
        <v>#NAME?</v>
      </c>
      <c r="CK30" s="52" t="e">
        <f ca="1">_xll.BDP($AY30&amp;" "&amp;$CA30,CK$3)</f>
        <v>#NAME?</v>
      </c>
      <c r="CL30" s="52" t="e">
        <f ca="1">_xll.BDP($AY30&amp;" "&amp;$CA30,CL$3)</f>
        <v>#NAME?</v>
      </c>
      <c r="CM30" s="52" t="e">
        <f ca="1">_xll.BDP($AY30&amp;" "&amp;$CA30,CM$3)</f>
        <v>#NAME?</v>
      </c>
      <c r="CN30" s="52" t="e">
        <f ca="1">_xll.BDP($AY30&amp;" "&amp;$CA30,CN$3)</f>
        <v>#NAME?</v>
      </c>
      <c r="CO30" s="52" t="e">
        <f ca="1">_xll.BDP($AY30&amp;" "&amp;$CA30,CO$3)</f>
        <v>#NAME?</v>
      </c>
      <c r="CP30" s="52" t="e">
        <f ca="1">_xll.BDP($AY30&amp;" "&amp;$CA30,CP$3)</f>
        <v>#NAME?</v>
      </c>
      <c r="CQ30" s="52" t="e">
        <f ca="1">_xll.BDP($AY30&amp;" "&amp;$CA30,CQ$3)</f>
        <v>#NAME?</v>
      </c>
      <c r="CR30" s="52" t="e">
        <f ca="1">_xll.BDP($AY30&amp;" "&amp;$CA30,CR$3)</f>
        <v>#NAME?</v>
      </c>
      <c r="CS30" s="52" t="e">
        <f ca="1">_xll.BDP($AY30&amp;" "&amp;$CA30,CS$3)</f>
        <v>#NAME?</v>
      </c>
      <c r="CT30" s="52" t="e">
        <f ca="1">_xll.BDP($AY30&amp;" "&amp;$CA30,CT$3)</f>
        <v>#NAME?</v>
      </c>
      <c r="CU30" s="52" t="e">
        <f ca="1">_xll.BDP($CT30&amp;" EQUITY",CU$3)</f>
        <v>#NAME?</v>
      </c>
      <c r="CV30" s="52" t="e">
        <f ca="1">_xll.BDP($CT30&amp;" EQUITY",CV$3)</f>
        <v>#NAME?</v>
      </c>
      <c r="CW30" s="52" t="e">
        <f ca="1">_xll.BDP($CT30&amp;" EQUITY",CW$3)</f>
        <v>#NAME?</v>
      </c>
      <c r="CX30" s="52" t="e">
        <f ca="1">_xll.BDP($CT30&amp;" EQUITY",CX$3)</f>
        <v>#NAME?</v>
      </c>
      <c r="CY30" s="52" t="e">
        <f ca="1">_xll.BDH($CT30&amp;" EQUITY",CY$3,CY$2,CY$2)</f>
        <v>#NAME?</v>
      </c>
      <c r="CZ30" s="52" t="e">
        <f ca="1">_xll.BDH($CT30&amp;" EQUITY",CZ$3,CZ$2,CZ$2)</f>
        <v>#NAME?</v>
      </c>
      <c r="DA30" s="52" t="e">
        <f ca="1">_xll.BDH($CT30&amp;" EQUITY",DA$3,DA$2,DA$2)</f>
        <v>#NAME?</v>
      </c>
      <c r="DB30" s="52" t="e">
        <f ca="1">_xll.BDH($CT30&amp;" EQUITY",DB$3,DB$2,DB$2)</f>
        <v>#NAME?</v>
      </c>
      <c r="DC30" s="52" t="e">
        <f ca="1">_xll.BDH($CT30&amp;" EQUITY",DC$3,DC$2,DC$2)</f>
        <v>#NAME?</v>
      </c>
      <c r="DD30" s="52" t="e">
        <f ca="1">_xll.BDH($CT30&amp;" EQUITY",DD$3,DD$2,DD$2)</f>
        <v>#NAME?</v>
      </c>
      <c r="DE30" s="52" t="e">
        <f ca="1">_xll.BDH($CT30&amp;" EQUITY",DE$3,DE$2,DE$2)</f>
        <v>#NAME?</v>
      </c>
      <c r="DF30" s="52" t="e">
        <f ca="1">_xll.BDH($CT30&amp;" EQUITY",DF$3,DF$2,DF$2)</f>
        <v>#NAME?</v>
      </c>
      <c r="DG30" s="52" t="e">
        <f ca="1">_xll.BDH($CT30&amp;" EQUITY",DG$3,DG$2,DG$2)</f>
        <v>#NAME?</v>
      </c>
      <c r="DH30" s="52" t="e">
        <f ca="1">_xll.BDH($CT30&amp;" EQUITY",DH$3,DH$2,DH$2)</f>
        <v>#NAME?</v>
      </c>
      <c r="DI30" s="52" t="e">
        <f ca="1">_xll.BDH($CT30&amp;" EQUITY",DI$3,DI$2,DI$2)</f>
        <v>#NAME?</v>
      </c>
      <c r="DJ30" s="52" t="e">
        <f ca="1">_xll.BDH($CT30&amp;" EQUITY",DJ$3,DJ$2,DJ$2)</f>
        <v>#NAME?</v>
      </c>
    </row>
    <row r="31" spans="1:114" x14ac:dyDescent="0.25">
      <c r="A31" t="s">
        <v>1601</v>
      </c>
      <c r="D31">
        <v>214777109</v>
      </c>
      <c r="E31" t="s">
        <v>1215</v>
      </c>
      <c r="G31" t="s">
        <v>1251</v>
      </c>
      <c r="H31">
        <v>91017</v>
      </c>
      <c r="I31" t="s">
        <v>1254</v>
      </c>
      <c r="J31" t="s">
        <v>1252</v>
      </c>
      <c r="K31" t="s">
        <v>1405</v>
      </c>
      <c r="L31" t="s">
        <v>1597</v>
      </c>
      <c r="M31" t="s">
        <v>1250</v>
      </c>
      <c r="O31">
        <v>42285</v>
      </c>
      <c r="P31">
        <v>42285</v>
      </c>
      <c r="R31" t="s">
        <v>74</v>
      </c>
      <c r="S31">
        <v>-90000</v>
      </c>
      <c r="T31">
        <v>-90000</v>
      </c>
      <c r="W31">
        <v>-89992.8</v>
      </c>
      <c r="Y31">
        <v>1</v>
      </c>
      <c r="Z31" t="s">
        <v>75</v>
      </c>
      <c r="AE31" t="s">
        <v>1406</v>
      </c>
      <c r="AF31">
        <v>9.2207076432969206</v>
      </c>
      <c r="AG31">
        <v>-9.2216524984978605</v>
      </c>
      <c r="AH31">
        <v>0</v>
      </c>
      <c r="AI31">
        <v>0</v>
      </c>
      <c r="AJ31">
        <v>-0.59628602769225802</v>
      </c>
      <c r="AK31">
        <v>100</v>
      </c>
      <c r="AL31" t="s">
        <v>1602</v>
      </c>
      <c r="AO31" t="s">
        <v>92</v>
      </c>
      <c r="AP31" t="s">
        <v>93</v>
      </c>
      <c r="AQ31" t="s">
        <v>1603</v>
      </c>
      <c r="AT31">
        <v>-151.1319</v>
      </c>
      <c r="AU31">
        <v>270</v>
      </c>
      <c r="AX31" t="s">
        <v>76</v>
      </c>
      <c r="AY31" t="s">
        <v>1604</v>
      </c>
      <c r="BA31" t="s">
        <v>1253</v>
      </c>
      <c r="BG31">
        <v>500</v>
      </c>
      <c r="BH31">
        <v>506</v>
      </c>
      <c r="BI31" t="s">
        <v>1252</v>
      </c>
      <c r="BJ31" t="s">
        <v>1405</v>
      </c>
      <c r="BK31">
        <v>1</v>
      </c>
      <c r="CA31" t="s">
        <v>1410</v>
      </c>
      <c r="CB31" t="s">
        <v>1174</v>
      </c>
      <c r="CC31" t="s">
        <v>1174</v>
      </c>
      <c r="CD31" s="52" t="e">
        <f ca="1">_xll.BDP($AY31&amp;" "&amp;$CA31,CD$3)</f>
        <v>#NAME?</v>
      </c>
      <c r="CE31" s="52" t="e">
        <f ca="1">_xll.BDP($AY31&amp;" "&amp;$CA31,CE$3)</f>
        <v>#NAME?</v>
      </c>
      <c r="CF31" s="52" t="e">
        <f ca="1">_xll.BDP($AY31&amp;" "&amp;$CA31,CF$3)</f>
        <v>#NAME?</v>
      </c>
      <c r="CG31" s="52" t="e">
        <f ca="1">_xll.BDP($AY31&amp;" "&amp;$CA31,CG$3)</f>
        <v>#NAME?</v>
      </c>
      <c r="CH31" s="52" t="e">
        <f ca="1">_xll.BDP($AY31&amp;" "&amp;$CA31,CH$3)</f>
        <v>#NAME?</v>
      </c>
      <c r="CI31" s="52" t="e">
        <f ca="1">_xll.BDP($AY31&amp;" "&amp;$CA31,CI$3)</f>
        <v>#NAME?</v>
      </c>
      <c r="CJ31" s="52" t="e">
        <f ca="1">_xll.BDP($AY31&amp;" "&amp;$CA31,CJ$3)</f>
        <v>#NAME?</v>
      </c>
      <c r="CK31" s="52" t="e">
        <f ca="1">_xll.BDP($AY31&amp;" "&amp;$CA31,CK$3)</f>
        <v>#NAME?</v>
      </c>
      <c r="CL31" s="52" t="e">
        <f ca="1">_xll.BDP($AY31&amp;" "&amp;$CA31,CL$3)</f>
        <v>#NAME?</v>
      </c>
      <c r="CM31" s="52" t="e">
        <f ca="1">_xll.BDP($AY31&amp;" "&amp;$CA31,CM$3)</f>
        <v>#NAME?</v>
      </c>
      <c r="CN31" s="52" t="e">
        <f ca="1">_xll.BDP($AY31&amp;" "&amp;$CA31,CN$3)</f>
        <v>#NAME?</v>
      </c>
      <c r="CO31" s="52" t="e">
        <f ca="1">_xll.BDP($AY31&amp;" "&amp;$CA31,CO$3)</f>
        <v>#NAME?</v>
      </c>
      <c r="CP31" s="52" t="e">
        <f ca="1">_xll.BDP($AY31&amp;" "&amp;$CA31,CP$3)</f>
        <v>#NAME?</v>
      </c>
      <c r="CQ31" s="52" t="e">
        <f ca="1">_xll.BDP($AY31&amp;" "&amp;$CA31,CQ$3)</f>
        <v>#NAME?</v>
      </c>
      <c r="CR31" s="52" t="e">
        <f ca="1">_xll.BDP($AY31&amp;" "&amp;$CA31,CR$3)</f>
        <v>#NAME?</v>
      </c>
      <c r="CS31" s="52" t="e">
        <f ca="1">_xll.BDP($AY31&amp;" "&amp;$CA31,CS$3)</f>
        <v>#NAME?</v>
      </c>
      <c r="CT31" s="52" t="e">
        <f ca="1">_xll.BDP($AY31&amp;" "&amp;$CA31,CT$3)</f>
        <v>#NAME?</v>
      </c>
      <c r="CU31" s="52" t="e">
        <f ca="1">_xll.BDP($CT31&amp;" EQUITY",CU$3)</f>
        <v>#NAME?</v>
      </c>
      <c r="CV31" s="52" t="e">
        <f ca="1">_xll.BDP($CT31&amp;" EQUITY",CV$3)</f>
        <v>#NAME?</v>
      </c>
      <c r="CW31" s="52" t="e">
        <f ca="1">_xll.BDP($CT31&amp;" EQUITY",CW$3)</f>
        <v>#NAME?</v>
      </c>
      <c r="CX31" s="52" t="e">
        <f ca="1">_xll.BDP($CT31&amp;" EQUITY",CX$3)</f>
        <v>#NAME?</v>
      </c>
      <c r="CY31" s="52" t="e">
        <f ca="1">_xll.BDH($CT31&amp;" EQUITY",CY$3,CY$2,CY$2)</f>
        <v>#NAME?</v>
      </c>
      <c r="CZ31" s="52" t="e">
        <f ca="1">_xll.BDH($CT31&amp;" EQUITY",CZ$3,CZ$2,CZ$2)</f>
        <v>#NAME?</v>
      </c>
      <c r="DA31" s="52" t="e">
        <f ca="1">_xll.BDH($CT31&amp;" EQUITY",DA$3,DA$2,DA$2)</f>
        <v>#NAME?</v>
      </c>
      <c r="DB31" s="52" t="e">
        <f ca="1">_xll.BDH($CT31&amp;" EQUITY",DB$3,DB$2,DB$2)</f>
        <v>#NAME?</v>
      </c>
      <c r="DC31" s="52" t="e">
        <f ca="1">_xll.BDH($CT31&amp;" EQUITY",DC$3,DC$2,DC$2)</f>
        <v>#NAME?</v>
      </c>
      <c r="DD31" s="52" t="e">
        <f ca="1">_xll.BDH($CT31&amp;" EQUITY",DD$3,DD$2,DD$2)</f>
        <v>#NAME?</v>
      </c>
      <c r="DE31" s="52" t="e">
        <f ca="1">_xll.BDH($CT31&amp;" EQUITY",DE$3,DE$2,DE$2)</f>
        <v>#NAME?</v>
      </c>
      <c r="DF31" s="52" t="e">
        <f ca="1">_xll.BDH($CT31&amp;" EQUITY",DF$3,DF$2,DF$2)</f>
        <v>#NAME?</v>
      </c>
      <c r="DG31" s="52" t="e">
        <f ca="1">_xll.BDH($CT31&amp;" EQUITY",DG$3,DG$2,DG$2)</f>
        <v>#NAME?</v>
      </c>
      <c r="DH31" s="52" t="e">
        <f ca="1">_xll.BDH($CT31&amp;" EQUITY",DH$3,DH$2,DH$2)</f>
        <v>#NAME?</v>
      </c>
      <c r="DI31" s="52" t="e">
        <f ca="1">_xll.BDH($CT31&amp;" EQUITY",DI$3,DI$2,DI$2)</f>
        <v>#NAME?</v>
      </c>
      <c r="DJ31" s="52" t="e">
        <f ca="1">_xll.BDH($CT31&amp;" EQUITY",DJ$3,DJ$2,DJ$2)</f>
        <v>#NAME?</v>
      </c>
    </row>
    <row r="32" spans="1:114" x14ac:dyDescent="0.25">
      <c r="A32" t="s">
        <v>1605</v>
      </c>
      <c r="D32">
        <v>214777110</v>
      </c>
      <c r="E32" t="s">
        <v>1215</v>
      </c>
      <c r="G32" t="s">
        <v>1251</v>
      </c>
      <c r="H32">
        <v>91017</v>
      </c>
      <c r="I32" t="s">
        <v>1254</v>
      </c>
      <c r="J32" t="s">
        <v>1252</v>
      </c>
      <c r="K32" t="s">
        <v>1405</v>
      </c>
      <c r="L32" t="s">
        <v>1597</v>
      </c>
      <c r="M32" t="s">
        <v>1250</v>
      </c>
      <c r="O32">
        <v>42193</v>
      </c>
      <c r="P32">
        <v>42193</v>
      </c>
      <c r="R32" t="s">
        <v>74</v>
      </c>
      <c r="S32">
        <v>-571000</v>
      </c>
      <c r="T32">
        <v>-571000</v>
      </c>
      <c r="W32">
        <v>-570971.44999999995</v>
      </c>
      <c r="Y32">
        <v>1</v>
      </c>
      <c r="Z32" t="s">
        <v>75</v>
      </c>
      <c r="AE32" t="s">
        <v>1406</v>
      </c>
      <c r="AF32">
        <v>44.111706594005199</v>
      </c>
      <c r="AG32">
        <v>-44.115114809013903</v>
      </c>
      <c r="AH32">
        <v>0</v>
      </c>
      <c r="AI32">
        <v>0</v>
      </c>
      <c r="AJ32">
        <v>-2.4579825050895998</v>
      </c>
      <c r="AK32">
        <v>100</v>
      </c>
      <c r="AL32" t="s">
        <v>1606</v>
      </c>
      <c r="AO32" t="s">
        <v>92</v>
      </c>
      <c r="AP32" t="s">
        <v>93</v>
      </c>
      <c r="AQ32" t="s">
        <v>1607</v>
      </c>
      <c r="AT32">
        <v>-349.04</v>
      </c>
      <c r="AU32">
        <v>1713</v>
      </c>
      <c r="AX32" t="s">
        <v>76</v>
      </c>
      <c r="AY32" t="s">
        <v>1608</v>
      </c>
      <c r="BA32" t="s">
        <v>1253</v>
      </c>
      <c r="BG32">
        <v>500</v>
      </c>
      <c r="BH32">
        <v>506</v>
      </c>
      <c r="BI32" t="s">
        <v>1252</v>
      </c>
      <c r="BJ32" t="s">
        <v>1405</v>
      </c>
      <c r="BK32">
        <v>1</v>
      </c>
      <c r="CA32" t="s">
        <v>1410</v>
      </c>
      <c r="CB32" t="s">
        <v>1174</v>
      </c>
      <c r="CC32" t="s">
        <v>1174</v>
      </c>
      <c r="CD32" s="52" t="e">
        <f ca="1">_xll.BDP($AY32&amp;" "&amp;$CA32,CD$3)</f>
        <v>#NAME?</v>
      </c>
      <c r="CE32" s="52" t="e">
        <f ca="1">_xll.BDP($AY32&amp;" "&amp;$CA32,CE$3)</f>
        <v>#NAME?</v>
      </c>
      <c r="CF32" s="52" t="e">
        <f ca="1">_xll.BDP($AY32&amp;" "&amp;$CA32,CF$3)</f>
        <v>#NAME?</v>
      </c>
      <c r="CG32" s="52" t="e">
        <f ca="1">_xll.BDP($AY32&amp;" "&amp;$CA32,CG$3)</f>
        <v>#NAME?</v>
      </c>
      <c r="CH32" s="52" t="e">
        <f ca="1">_xll.BDP($AY32&amp;" "&amp;$CA32,CH$3)</f>
        <v>#NAME?</v>
      </c>
      <c r="CI32" s="52" t="e">
        <f ca="1">_xll.BDP($AY32&amp;" "&amp;$CA32,CI$3)</f>
        <v>#NAME?</v>
      </c>
      <c r="CJ32" s="52" t="e">
        <f ca="1">_xll.BDP($AY32&amp;" "&amp;$CA32,CJ$3)</f>
        <v>#NAME?</v>
      </c>
      <c r="CK32" s="52" t="e">
        <f ca="1">_xll.BDP($AY32&amp;" "&amp;$CA32,CK$3)</f>
        <v>#NAME?</v>
      </c>
      <c r="CL32" s="52" t="e">
        <f ca="1">_xll.BDP($AY32&amp;" "&amp;$CA32,CL$3)</f>
        <v>#NAME?</v>
      </c>
      <c r="CM32" s="52" t="e">
        <f ca="1">_xll.BDP($AY32&amp;" "&amp;$CA32,CM$3)</f>
        <v>#NAME?</v>
      </c>
      <c r="CN32" s="52" t="e">
        <f ca="1">_xll.BDP($AY32&amp;" "&amp;$CA32,CN$3)</f>
        <v>#NAME?</v>
      </c>
      <c r="CO32" s="52" t="e">
        <f ca="1">_xll.BDP($AY32&amp;" "&amp;$CA32,CO$3)</f>
        <v>#NAME?</v>
      </c>
      <c r="CP32" s="52" t="e">
        <f ca="1">_xll.BDP($AY32&amp;" "&amp;$CA32,CP$3)</f>
        <v>#NAME?</v>
      </c>
      <c r="CQ32" s="52" t="e">
        <f ca="1">_xll.BDP($AY32&amp;" "&amp;$CA32,CQ$3)</f>
        <v>#NAME?</v>
      </c>
      <c r="CR32" s="52" t="e">
        <f ca="1">_xll.BDP($AY32&amp;" "&amp;$CA32,CR$3)</f>
        <v>#NAME?</v>
      </c>
      <c r="CS32" s="52" t="e">
        <f ca="1">_xll.BDP($AY32&amp;" "&amp;$CA32,CS$3)</f>
        <v>#NAME?</v>
      </c>
      <c r="CT32" s="52" t="e">
        <f ca="1">_xll.BDP($AY32&amp;" "&amp;$CA32,CT$3)</f>
        <v>#NAME?</v>
      </c>
      <c r="CU32" s="52" t="e">
        <f ca="1">_xll.BDP($CT32&amp;" EQUITY",CU$3)</f>
        <v>#NAME?</v>
      </c>
      <c r="CV32" s="52" t="e">
        <f ca="1">_xll.BDP($CT32&amp;" EQUITY",CV$3)</f>
        <v>#NAME?</v>
      </c>
      <c r="CW32" s="52" t="e">
        <f ca="1">_xll.BDP($CT32&amp;" EQUITY",CW$3)</f>
        <v>#NAME?</v>
      </c>
      <c r="CX32" s="52" t="e">
        <f ca="1">_xll.BDP($CT32&amp;" EQUITY",CX$3)</f>
        <v>#NAME?</v>
      </c>
      <c r="CY32" s="52" t="e">
        <f ca="1">_xll.BDH($CT32&amp;" EQUITY",CY$3,CY$2,CY$2)</f>
        <v>#NAME?</v>
      </c>
      <c r="CZ32" s="52" t="e">
        <f ca="1">_xll.BDH($CT32&amp;" EQUITY",CZ$3,CZ$2,CZ$2)</f>
        <v>#NAME?</v>
      </c>
      <c r="DA32" s="52" t="e">
        <f ca="1">_xll.BDH($CT32&amp;" EQUITY",DA$3,DA$2,DA$2)</f>
        <v>#NAME?</v>
      </c>
      <c r="DB32" s="52" t="e">
        <f ca="1">_xll.BDH($CT32&amp;" EQUITY",DB$3,DB$2,DB$2)</f>
        <v>#NAME?</v>
      </c>
      <c r="DC32" s="52" t="e">
        <f ca="1">_xll.BDH($CT32&amp;" EQUITY",DC$3,DC$2,DC$2)</f>
        <v>#NAME?</v>
      </c>
      <c r="DD32" s="52" t="e">
        <f ca="1">_xll.BDH($CT32&amp;" EQUITY",DD$3,DD$2,DD$2)</f>
        <v>#NAME?</v>
      </c>
      <c r="DE32" s="52" t="e">
        <f ca="1">_xll.BDH($CT32&amp;" EQUITY",DE$3,DE$2,DE$2)</f>
        <v>#NAME?</v>
      </c>
      <c r="DF32" s="52" t="e">
        <f ca="1">_xll.BDH($CT32&amp;" EQUITY",DF$3,DF$2,DF$2)</f>
        <v>#NAME?</v>
      </c>
      <c r="DG32" s="52" t="e">
        <f ca="1">_xll.BDH($CT32&amp;" EQUITY",DG$3,DG$2,DG$2)</f>
        <v>#NAME?</v>
      </c>
      <c r="DH32" s="52" t="e">
        <f ca="1">_xll.BDH($CT32&amp;" EQUITY",DH$3,DH$2,DH$2)</f>
        <v>#NAME?</v>
      </c>
      <c r="DI32" s="52" t="e">
        <f ca="1">_xll.BDH($CT32&amp;" EQUITY",DI$3,DI$2,DI$2)</f>
        <v>#NAME?</v>
      </c>
      <c r="DJ32" s="52" t="e">
        <f ca="1">_xll.BDH($CT32&amp;" EQUITY",DJ$3,DJ$2,DJ$2)</f>
        <v>#NAME?</v>
      </c>
    </row>
    <row r="33" spans="1:114" x14ac:dyDescent="0.25">
      <c r="A33" t="s">
        <v>1609</v>
      </c>
      <c r="D33">
        <v>214777111</v>
      </c>
      <c r="E33" t="s">
        <v>1215</v>
      </c>
      <c r="G33" t="s">
        <v>1251</v>
      </c>
      <c r="H33">
        <v>91017</v>
      </c>
      <c r="I33" t="s">
        <v>1254</v>
      </c>
      <c r="J33" t="s">
        <v>1252</v>
      </c>
      <c r="K33" t="s">
        <v>1405</v>
      </c>
      <c r="L33" t="s">
        <v>1597</v>
      </c>
      <c r="M33" t="s">
        <v>1250</v>
      </c>
      <c r="O33">
        <v>42012</v>
      </c>
      <c r="P33">
        <v>42012</v>
      </c>
      <c r="R33" t="s">
        <v>74</v>
      </c>
      <c r="S33">
        <v>-195000</v>
      </c>
      <c r="T33">
        <v>-195000</v>
      </c>
      <c r="W33">
        <v>-194951.25</v>
      </c>
      <c r="Y33">
        <v>1</v>
      </c>
      <c r="Z33" t="s">
        <v>75</v>
      </c>
      <c r="AE33" t="s">
        <v>1406</v>
      </c>
      <c r="AF33">
        <v>5.3944668020121798</v>
      </c>
      <c r="AG33">
        <v>-5.3946160759951498</v>
      </c>
      <c r="AH33">
        <v>0</v>
      </c>
      <c r="AI33">
        <v>0</v>
      </c>
      <c r="AJ33">
        <v>-1.4225073679990601</v>
      </c>
      <c r="AK33">
        <v>100</v>
      </c>
      <c r="AL33" t="s">
        <v>1598</v>
      </c>
      <c r="AO33" t="s">
        <v>92</v>
      </c>
      <c r="AP33" t="s">
        <v>93</v>
      </c>
      <c r="AQ33" t="s">
        <v>1610</v>
      </c>
      <c r="AT33">
        <v>-17.0305</v>
      </c>
      <c r="AU33">
        <v>585</v>
      </c>
      <c r="AX33" t="s">
        <v>76</v>
      </c>
      <c r="AY33" t="s">
        <v>1611</v>
      </c>
      <c r="BA33" t="s">
        <v>1253</v>
      </c>
      <c r="BG33">
        <v>500</v>
      </c>
      <c r="BH33">
        <v>506</v>
      </c>
      <c r="BI33" t="s">
        <v>1252</v>
      </c>
      <c r="BJ33" t="s">
        <v>1405</v>
      </c>
      <c r="BK33">
        <v>1</v>
      </c>
      <c r="CA33" t="s">
        <v>1410</v>
      </c>
      <c r="CB33" t="s">
        <v>1174</v>
      </c>
      <c r="CC33" t="s">
        <v>1174</v>
      </c>
      <c r="CD33" s="52" t="e">
        <f ca="1">_xll.BDP($AY33&amp;" "&amp;$CA33,CD$3)</f>
        <v>#NAME?</v>
      </c>
      <c r="CE33" s="52" t="e">
        <f ca="1">_xll.BDP($AY33&amp;" "&amp;$CA33,CE$3)</f>
        <v>#NAME?</v>
      </c>
      <c r="CF33" s="52" t="e">
        <f ca="1">_xll.BDP($AY33&amp;" "&amp;$CA33,CF$3)</f>
        <v>#NAME?</v>
      </c>
      <c r="CG33" s="52" t="e">
        <f ca="1">_xll.BDP($AY33&amp;" "&amp;$CA33,CG$3)</f>
        <v>#NAME?</v>
      </c>
      <c r="CH33" s="52" t="e">
        <f ca="1">_xll.BDP($AY33&amp;" "&amp;$CA33,CH$3)</f>
        <v>#NAME?</v>
      </c>
      <c r="CI33" s="52" t="e">
        <f ca="1">_xll.BDP($AY33&amp;" "&amp;$CA33,CI$3)</f>
        <v>#NAME?</v>
      </c>
      <c r="CJ33" s="52" t="e">
        <f ca="1">_xll.BDP($AY33&amp;" "&amp;$CA33,CJ$3)</f>
        <v>#NAME?</v>
      </c>
      <c r="CK33" s="52" t="e">
        <f ca="1">_xll.BDP($AY33&amp;" "&amp;$CA33,CK$3)</f>
        <v>#NAME?</v>
      </c>
      <c r="CL33" s="52" t="e">
        <f ca="1">_xll.BDP($AY33&amp;" "&amp;$CA33,CL$3)</f>
        <v>#NAME?</v>
      </c>
      <c r="CM33" s="52" t="e">
        <f ca="1">_xll.BDP($AY33&amp;" "&amp;$CA33,CM$3)</f>
        <v>#NAME?</v>
      </c>
      <c r="CN33" s="52" t="e">
        <f ca="1">_xll.BDP($AY33&amp;" "&amp;$CA33,CN$3)</f>
        <v>#NAME?</v>
      </c>
      <c r="CO33" s="52" t="e">
        <f ca="1">_xll.BDP($AY33&amp;" "&amp;$CA33,CO$3)</f>
        <v>#NAME?</v>
      </c>
      <c r="CP33" s="52" t="e">
        <f ca="1">_xll.BDP($AY33&amp;" "&amp;$CA33,CP$3)</f>
        <v>#NAME?</v>
      </c>
      <c r="CQ33" s="52" t="e">
        <f ca="1">_xll.BDP($AY33&amp;" "&amp;$CA33,CQ$3)</f>
        <v>#NAME?</v>
      </c>
      <c r="CR33" s="52" t="e">
        <f ca="1">_xll.BDP($AY33&amp;" "&amp;$CA33,CR$3)</f>
        <v>#NAME?</v>
      </c>
      <c r="CS33" s="52" t="e">
        <f ca="1">_xll.BDP($AY33&amp;" "&amp;$CA33,CS$3)</f>
        <v>#NAME?</v>
      </c>
      <c r="CT33" s="52" t="e">
        <f ca="1">_xll.BDP($AY33&amp;" "&amp;$CA33,CT$3)</f>
        <v>#NAME?</v>
      </c>
      <c r="CU33" s="52" t="e">
        <f ca="1">_xll.BDP($CT33&amp;" EQUITY",CU$3)</f>
        <v>#NAME?</v>
      </c>
      <c r="CV33" s="52" t="e">
        <f ca="1">_xll.BDP($CT33&amp;" EQUITY",CV$3)</f>
        <v>#NAME?</v>
      </c>
      <c r="CW33" s="52" t="e">
        <f ca="1">_xll.BDP($CT33&amp;" EQUITY",CW$3)</f>
        <v>#NAME?</v>
      </c>
      <c r="CX33" s="52" t="e">
        <f ca="1">_xll.BDP($CT33&amp;" EQUITY",CX$3)</f>
        <v>#NAME?</v>
      </c>
      <c r="CY33" s="52" t="e">
        <f ca="1">_xll.BDH($CT33&amp;" EQUITY",CY$3,CY$2,CY$2)</f>
        <v>#NAME?</v>
      </c>
      <c r="CZ33" s="52" t="e">
        <f ca="1">_xll.BDH($CT33&amp;" EQUITY",CZ$3,CZ$2,CZ$2)</f>
        <v>#NAME?</v>
      </c>
      <c r="DA33" s="52" t="e">
        <f ca="1">_xll.BDH($CT33&amp;" EQUITY",DA$3,DA$2,DA$2)</f>
        <v>#NAME?</v>
      </c>
      <c r="DB33" s="52" t="e">
        <f ca="1">_xll.BDH($CT33&amp;" EQUITY",DB$3,DB$2,DB$2)</f>
        <v>#NAME?</v>
      </c>
      <c r="DC33" s="52" t="e">
        <f ca="1">_xll.BDH($CT33&amp;" EQUITY",DC$3,DC$2,DC$2)</f>
        <v>#NAME?</v>
      </c>
      <c r="DD33" s="52" t="e">
        <f ca="1">_xll.BDH($CT33&amp;" EQUITY",DD$3,DD$2,DD$2)</f>
        <v>#NAME?</v>
      </c>
      <c r="DE33" s="52" t="e">
        <f ca="1">_xll.BDH($CT33&amp;" EQUITY",DE$3,DE$2,DE$2)</f>
        <v>#NAME?</v>
      </c>
      <c r="DF33" s="52" t="e">
        <f ca="1">_xll.BDH($CT33&amp;" EQUITY",DF$3,DF$2,DF$2)</f>
        <v>#NAME?</v>
      </c>
      <c r="DG33" s="52" t="e">
        <f ca="1">_xll.BDH($CT33&amp;" EQUITY",DG$3,DG$2,DG$2)</f>
        <v>#NAME?</v>
      </c>
      <c r="DH33" s="52" t="e">
        <f ca="1">_xll.BDH($CT33&amp;" EQUITY",DH$3,DH$2,DH$2)</f>
        <v>#NAME?</v>
      </c>
      <c r="DI33" s="52" t="e">
        <f ca="1">_xll.BDH($CT33&amp;" EQUITY",DI$3,DI$2,DI$2)</f>
        <v>#NAME?</v>
      </c>
      <c r="DJ33" s="52" t="e">
        <f ca="1">_xll.BDH($CT33&amp;" EQUITY",DJ$3,DJ$2,DJ$2)</f>
        <v>#NAME?</v>
      </c>
    </row>
    <row r="34" spans="1:114" x14ac:dyDescent="0.25">
      <c r="A34" t="s">
        <v>1612</v>
      </c>
      <c r="D34">
        <v>214777116</v>
      </c>
      <c r="E34" t="s">
        <v>1215</v>
      </c>
      <c r="G34" t="s">
        <v>1251</v>
      </c>
      <c r="H34">
        <v>91017</v>
      </c>
      <c r="I34" t="s">
        <v>1254</v>
      </c>
      <c r="J34" t="s">
        <v>1252</v>
      </c>
      <c r="K34" t="s">
        <v>1405</v>
      </c>
      <c r="L34" t="s">
        <v>1613</v>
      </c>
      <c r="M34" t="s">
        <v>1250</v>
      </c>
      <c r="O34">
        <v>41990</v>
      </c>
      <c r="P34">
        <v>41990</v>
      </c>
      <c r="R34" t="s">
        <v>74</v>
      </c>
      <c r="S34">
        <v>-495000</v>
      </c>
      <c r="T34">
        <v>-495000</v>
      </c>
      <c r="W34">
        <v>-494792.1</v>
      </c>
      <c r="Y34">
        <v>1</v>
      </c>
      <c r="Z34" t="s">
        <v>75</v>
      </c>
      <c r="AE34" t="s">
        <v>1406</v>
      </c>
      <c r="AF34">
        <v>10.709082983958099</v>
      </c>
      <c r="AG34">
        <v>-10.7093147720443</v>
      </c>
      <c r="AH34">
        <v>0</v>
      </c>
      <c r="AI34">
        <v>0</v>
      </c>
      <c r="AJ34">
        <v>-3.2262390360119801</v>
      </c>
      <c r="AK34">
        <v>100</v>
      </c>
      <c r="AL34" t="s">
        <v>1614</v>
      </c>
      <c r="AO34" t="s">
        <v>92</v>
      </c>
      <c r="AP34" t="s">
        <v>93</v>
      </c>
      <c r="AQ34" t="s">
        <v>1615</v>
      </c>
      <c r="AT34">
        <v>-31.645600000000002</v>
      </c>
      <c r="AU34">
        <v>1485</v>
      </c>
      <c r="AX34" t="s">
        <v>76</v>
      </c>
      <c r="AY34" t="s">
        <v>1616</v>
      </c>
      <c r="BA34" t="s">
        <v>1253</v>
      </c>
      <c r="BG34">
        <v>500</v>
      </c>
      <c r="BH34">
        <v>506</v>
      </c>
      <c r="BI34" t="s">
        <v>1252</v>
      </c>
      <c r="BJ34" t="s">
        <v>1405</v>
      </c>
      <c r="BK34">
        <v>1</v>
      </c>
      <c r="CA34" t="s">
        <v>1410</v>
      </c>
      <c r="CB34" t="s">
        <v>1174</v>
      </c>
      <c r="CC34" t="s">
        <v>1174</v>
      </c>
      <c r="CD34" s="52" t="e">
        <f ca="1">_xll.BDP($AY34&amp;" "&amp;$CA34,CD$3)</f>
        <v>#NAME?</v>
      </c>
      <c r="CE34" s="52" t="e">
        <f ca="1">_xll.BDP($AY34&amp;" "&amp;$CA34,CE$3)</f>
        <v>#NAME?</v>
      </c>
      <c r="CF34" s="52" t="e">
        <f ca="1">_xll.BDP($AY34&amp;" "&amp;$CA34,CF$3)</f>
        <v>#NAME?</v>
      </c>
      <c r="CG34" s="52" t="e">
        <f ca="1">_xll.BDP($AY34&amp;" "&amp;$CA34,CG$3)</f>
        <v>#NAME?</v>
      </c>
      <c r="CH34" s="52" t="e">
        <f ca="1">_xll.BDP($AY34&amp;" "&amp;$CA34,CH$3)</f>
        <v>#NAME?</v>
      </c>
      <c r="CI34" s="52" t="e">
        <f ca="1">_xll.BDP($AY34&amp;" "&amp;$CA34,CI$3)</f>
        <v>#NAME?</v>
      </c>
      <c r="CJ34" s="52" t="e">
        <f ca="1">_xll.BDP($AY34&amp;" "&amp;$CA34,CJ$3)</f>
        <v>#NAME?</v>
      </c>
      <c r="CK34" s="52" t="e">
        <f ca="1">_xll.BDP($AY34&amp;" "&amp;$CA34,CK$3)</f>
        <v>#NAME?</v>
      </c>
      <c r="CL34" s="52" t="e">
        <f ca="1">_xll.BDP($AY34&amp;" "&amp;$CA34,CL$3)</f>
        <v>#NAME?</v>
      </c>
      <c r="CM34" s="52" t="e">
        <f ca="1">_xll.BDP($AY34&amp;" "&amp;$CA34,CM$3)</f>
        <v>#NAME?</v>
      </c>
      <c r="CN34" s="52" t="e">
        <f ca="1">_xll.BDP($AY34&amp;" "&amp;$CA34,CN$3)</f>
        <v>#NAME?</v>
      </c>
      <c r="CO34" s="52" t="e">
        <f ca="1">_xll.BDP($AY34&amp;" "&amp;$CA34,CO$3)</f>
        <v>#NAME?</v>
      </c>
      <c r="CP34" s="52" t="e">
        <f ca="1">_xll.BDP($AY34&amp;" "&amp;$CA34,CP$3)</f>
        <v>#NAME?</v>
      </c>
      <c r="CQ34" s="52" t="e">
        <f ca="1">_xll.BDP($AY34&amp;" "&amp;$CA34,CQ$3)</f>
        <v>#NAME?</v>
      </c>
      <c r="CR34" s="52" t="e">
        <f ca="1">_xll.BDP($AY34&amp;" "&amp;$CA34,CR$3)</f>
        <v>#NAME?</v>
      </c>
      <c r="CS34" s="52" t="e">
        <f ca="1">_xll.BDP($AY34&amp;" "&amp;$CA34,CS$3)</f>
        <v>#NAME?</v>
      </c>
      <c r="CT34" s="52" t="e">
        <f ca="1">_xll.BDP($AY34&amp;" "&amp;$CA34,CT$3)</f>
        <v>#NAME?</v>
      </c>
      <c r="CU34" s="52" t="e">
        <f ca="1">_xll.BDP($CT34&amp;" EQUITY",CU$3)</f>
        <v>#NAME?</v>
      </c>
      <c r="CV34" s="52" t="e">
        <f ca="1">_xll.BDP($CT34&amp;" EQUITY",CV$3)</f>
        <v>#NAME?</v>
      </c>
      <c r="CW34" s="52" t="e">
        <f ca="1">_xll.BDP($CT34&amp;" EQUITY",CW$3)</f>
        <v>#NAME?</v>
      </c>
      <c r="CX34" s="52" t="e">
        <f ca="1">_xll.BDP($CT34&amp;" EQUITY",CX$3)</f>
        <v>#NAME?</v>
      </c>
      <c r="CY34" s="52" t="e">
        <f ca="1">_xll.BDH($CT34&amp;" EQUITY",CY$3,CY$2,CY$2)</f>
        <v>#NAME?</v>
      </c>
      <c r="CZ34" s="52" t="e">
        <f ca="1">_xll.BDH($CT34&amp;" EQUITY",CZ$3,CZ$2,CZ$2)</f>
        <v>#NAME?</v>
      </c>
      <c r="DA34" s="52" t="e">
        <f ca="1">_xll.BDH($CT34&amp;" EQUITY",DA$3,DA$2,DA$2)</f>
        <v>#NAME?</v>
      </c>
      <c r="DB34" s="52" t="e">
        <f ca="1">_xll.BDH($CT34&amp;" EQUITY",DB$3,DB$2,DB$2)</f>
        <v>#NAME?</v>
      </c>
      <c r="DC34" s="52" t="e">
        <f ca="1">_xll.BDH($CT34&amp;" EQUITY",DC$3,DC$2,DC$2)</f>
        <v>#NAME?</v>
      </c>
      <c r="DD34" s="52" t="e">
        <f ca="1">_xll.BDH($CT34&amp;" EQUITY",DD$3,DD$2,DD$2)</f>
        <v>#NAME?</v>
      </c>
      <c r="DE34" s="52" t="e">
        <f ca="1">_xll.BDH($CT34&amp;" EQUITY",DE$3,DE$2,DE$2)</f>
        <v>#NAME?</v>
      </c>
      <c r="DF34" s="52" t="e">
        <f ca="1">_xll.BDH($CT34&amp;" EQUITY",DF$3,DF$2,DF$2)</f>
        <v>#NAME?</v>
      </c>
      <c r="DG34" s="52" t="e">
        <f ca="1">_xll.BDH($CT34&amp;" EQUITY",DG$3,DG$2,DG$2)</f>
        <v>#NAME?</v>
      </c>
      <c r="DH34" s="52" t="e">
        <f ca="1">_xll.BDH($CT34&amp;" EQUITY",DH$3,DH$2,DH$2)</f>
        <v>#NAME?</v>
      </c>
      <c r="DI34" s="52" t="e">
        <f ca="1">_xll.BDH($CT34&amp;" EQUITY",DI$3,DI$2,DI$2)</f>
        <v>#NAME?</v>
      </c>
      <c r="DJ34" s="52" t="e">
        <f ca="1">_xll.BDH($CT34&amp;" EQUITY",DJ$3,DJ$2,DJ$2)</f>
        <v>#NAME?</v>
      </c>
    </row>
    <row r="35" spans="1:114" x14ac:dyDescent="0.25">
      <c r="A35" t="s">
        <v>1617</v>
      </c>
      <c r="D35">
        <v>214777118</v>
      </c>
      <c r="E35" t="s">
        <v>1215</v>
      </c>
      <c r="G35" t="s">
        <v>1251</v>
      </c>
      <c r="H35">
        <v>91017</v>
      </c>
      <c r="I35" t="s">
        <v>1254</v>
      </c>
      <c r="J35" t="s">
        <v>1252</v>
      </c>
      <c r="K35" t="s">
        <v>1405</v>
      </c>
      <c r="L35" t="s">
        <v>1468</v>
      </c>
      <c r="M35" t="s">
        <v>1250</v>
      </c>
      <c r="O35">
        <v>42285</v>
      </c>
      <c r="P35">
        <v>42285</v>
      </c>
      <c r="R35" t="s">
        <v>74</v>
      </c>
      <c r="S35">
        <v>-2000</v>
      </c>
      <c r="T35">
        <v>-2000</v>
      </c>
      <c r="W35">
        <v>-1996.84</v>
      </c>
      <c r="Y35">
        <v>1</v>
      </c>
      <c r="Z35" t="s">
        <v>75</v>
      </c>
      <c r="AE35" t="s">
        <v>1406</v>
      </c>
      <c r="AF35">
        <v>0.20459723279986999</v>
      </c>
      <c r="AG35">
        <v>-0.204618198099979</v>
      </c>
      <c r="AH35">
        <v>0</v>
      </c>
      <c r="AI35">
        <v>0</v>
      </c>
      <c r="AJ35">
        <v>-1.3261546400144699E-2</v>
      </c>
      <c r="AK35">
        <v>100</v>
      </c>
      <c r="AL35" t="s">
        <v>1618</v>
      </c>
      <c r="AO35" t="s">
        <v>92</v>
      </c>
      <c r="AP35" t="s">
        <v>93</v>
      </c>
      <c r="AQ35" t="s">
        <v>1619</v>
      </c>
      <c r="AT35">
        <v>-3.3534000000000002</v>
      </c>
      <c r="AU35">
        <v>6</v>
      </c>
      <c r="AX35" t="s">
        <v>76</v>
      </c>
      <c r="AY35" t="s">
        <v>1620</v>
      </c>
      <c r="BA35" t="s">
        <v>1253</v>
      </c>
      <c r="BG35">
        <v>500</v>
      </c>
      <c r="BH35">
        <v>506</v>
      </c>
      <c r="BI35" t="s">
        <v>1252</v>
      </c>
      <c r="BJ35" t="s">
        <v>1405</v>
      </c>
      <c r="BK35">
        <v>1</v>
      </c>
      <c r="CA35" t="s">
        <v>1410</v>
      </c>
      <c r="CB35" t="s">
        <v>1174</v>
      </c>
      <c r="CC35" t="s">
        <v>1174</v>
      </c>
      <c r="CD35" s="52" t="e">
        <f ca="1">_xll.BDP($AY35&amp;" "&amp;$CA35,CD$3)</f>
        <v>#NAME?</v>
      </c>
      <c r="CE35" s="52" t="e">
        <f ca="1">_xll.BDP($AY35&amp;" "&amp;$CA35,CE$3)</f>
        <v>#NAME?</v>
      </c>
      <c r="CF35" s="52" t="e">
        <f ca="1">_xll.BDP($AY35&amp;" "&amp;$CA35,CF$3)</f>
        <v>#NAME?</v>
      </c>
      <c r="CG35" s="52" t="e">
        <f ca="1">_xll.BDP($AY35&amp;" "&amp;$CA35,CG$3)</f>
        <v>#NAME?</v>
      </c>
      <c r="CH35" s="52" t="e">
        <f ca="1">_xll.BDP($AY35&amp;" "&amp;$CA35,CH$3)</f>
        <v>#NAME?</v>
      </c>
      <c r="CI35" s="52" t="e">
        <f ca="1">_xll.BDP($AY35&amp;" "&amp;$CA35,CI$3)</f>
        <v>#NAME?</v>
      </c>
      <c r="CJ35" s="52" t="e">
        <f ca="1">_xll.BDP($AY35&amp;" "&amp;$CA35,CJ$3)</f>
        <v>#NAME?</v>
      </c>
      <c r="CK35" s="52" t="e">
        <f ca="1">_xll.BDP($AY35&amp;" "&amp;$CA35,CK$3)</f>
        <v>#NAME?</v>
      </c>
      <c r="CL35" s="52" t="e">
        <f ca="1">_xll.BDP($AY35&amp;" "&amp;$CA35,CL$3)</f>
        <v>#NAME?</v>
      </c>
      <c r="CM35" s="52" t="e">
        <f ca="1">_xll.BDP($AY35&amp;" "&amp;$CA35,CM$3)</f>
        <v>#NAME?</v>
      </c>
      <c r="CN35" s="52" t="e">
        <f ca="1">_xll.BDP($AY35&amp;" "&amp;$CA35,CN$3)</f>
        <v>#NAME?</v>
      </c>
      <c r="CO35" s="52" t="e">
        <f ca="1">_xll.BDP($AY35&amp;" "&amp;$CA35,CO$3)</f>
        <v>#NAME?</v>
      </c>
      <c r="CP35" s="52" t="e">
        <f ca="1">_xll.BDP($AY35&amp;" "&amp;$CA35,CP$3)</f>
        <v>#NAME?</v>
      </c>
      <c r="CQ35" s="52" t="e">
        <f ca="1">_xll.BDP($AY35&amp;" "&amp;$CA35,CQ$3)</f>
        <v>#NAME?</v>
      </c>
      <c r="CR35" s="52" t="e">
        <f ca="1">_xll.BDP($AY35&amp;" "&amp;$CA35,CR$3)</f>
        <v>#NAME?</v>
      </c>
      <c r="CS35" s="52" t="e">
        <f ca="1">_xll.BDP($AY35&amp;" "&amp;$CA35,CS$3)</f>
        <v>#NAME?</v>
      </c>
      <c r="CT35" s="52" t="e">
        <f ca="1">_xll.BDP($AY35&amp;" "&amp;$CA35,CT$3)</f>
        <v>#NAME?</v>
      </c>
      <c r="CU35" s="52" t="e">
        <f ca="1">_xll.BDP($CT35&amp;" EQUITY",CU$3)</f>
        <v>#NAME?</v>
      </c>
      <c r="CV35" s="52" t="e">
        <f ca="1">_xll.BDP($CT35&amp;" EQUITY",CV$3)</f>
        <v>#NAME?</v>
      </c>
      <c r="CW35" s="52" t="e">
        <f ca="1">_xll.BDP($CT35&amp;" EQUITY",CW$3)</f>
        <v>#NAME?</v>
      </c>
      <c r="CX35" s="52" t="e">
        <f ca="1">_xll.BDP($CT35&amp;" EQUITY",CX$3)</f>
        <v>#NAME?</v>
      </c>
      <c r="CY35" s="52" t="e">
        <f ca="1">_xll.BDH($CT35&amp;" EQUITY",CY$3,CY$2,CY$2)</f>
        <v>#NAME?</v>
      </c>
      <c r="CZ35" s="52" t="e">
        <f ca="1">_xll.BDH($CT35&amp;" EQUITY",CZ$3,CZ$2,CZ$2)</f>
        <v>#NAME?</v>
      </c>
      <c r="DA35" s="52" t="e">
        <f ca="1">_xll.BDH($CT35&amp;" EQUITY",DA$3,DA$2,DA$2)</f>
        <v>#NAME?</v>
      </c>
      <c r="DB35" s="52" t="e">
        <f ca="1">_xll.BDH($CT35&amp;" EQUITY",DB$3,DB$2,DB$2)</f>
        <v>#NAME?</v>
      </c>
      <c r="DC35" s="52" t="e">
        <f ca="1">_xll.BDH($CT35&amp;" EQUITY",DC$3,DC$2,DC$2)</f>
        <v>#NAME?</v>
      </c>
      <c r="DD35" s="52" t="e">
        <f ca="1">_xll.BDH($CT35&amp;" EQUITY",DD$3,DD$2,DD$2)</f>
        <v>#NAME?</v>
      </c>
      <c r="DE35" s="52" t="e">
        <f ca="1">_xll.BDH($CT35&amp;" EQUITY",DE$3,DE$2,DE$2)</f>
        <v>#NAME?</v>
      </c>
      <c r="DF35" s="52" t="e">
        <f ca="1">_xll.BDH($CT35&amp;" EQUITY",DF$3,DF$2,DF$2)</f>
        <v>#NAME?</v>
      </c>
      <c r="DG35" s="52" t="e">
        <f ca="1">_xll.BDH($CT35&amp;" EQUITY",DG$3,DG$2,DG$2)</f>
        <v>#NAME?</v>
      </c>
      <c r="DH35" s="52" t="e">
        <f ca="1">_xll.BDH($CT35&amp;" EQUITY",DH$3,DH$2,DH$2)</f>
        <v>#NAME?</v>
      </c>
      <c r="DI35" s="52" t="e">
        <f ca="1">_xll.BDH($CT35&amp;" EQUITY",DI$3,DI$2,DI$2)</f>
        <v>#NAME?</v>
      </c>
      <c r="DJ35" s="52" t="e">
        <f ca="1">_xll.BDH($CT35&amp;" EQUITY",DJ$3,DJ$2,DJ$2)</f>
        <v>#NAME?</v>
      </c>
    </row>
    <row r="36" spans="1:114" x14ac:dyDescent="0.25">
      <c r="A36" t="s">
        <v>1621</v>
      </c>
      <c r="D36">
        <v>214777120</v>
      </c>
      <c r="E36" t="s">
        <v>1215</v>
      </c>
      <c r="G36" t="s">
        <v>1251</v>
      </c>
      <c r="H36">
        <v>91017</v>
      </c>
      <c r="I36" t="s">
        <v>1254</v>
      </c>
      <c r="J36" t="s">
        <v>1252</v>
      </c>
      <c r="K36" t="s">
        <v>1405</v>
      </c>
      <c r="L36" t="s">
        <v>1468</v>
      </c>
      <c r="M36" t="s">
        <v>1250</v>
      </c>
      <c r="O36">
        <v>42285</v>
      </c>
      <c r="P36">
        <v>42285</v>
      </c>
      <c r="R36" t="s">
        <v>74</v>
      </c>
      <c r="S36">
        <v>-500000</v>
      </c>
      <c r="T36">
        <v>-500000</v>
      </c>
      <c r="W36">
        <v>-499461</v>
      </c>
      <c r="Y36">
        <v>1</v>
      </c>
      <c r="Z36" t="s">
        <v>75</v>
      </c>
      <c r="AE36" t="s">
        <v>1406</v>
      </c>
      <c r="AF36">
        <v>51.175025783013602</v>
      </c>
      <c r="AG36">
        <v>-51.180269739008502</v>
      </c>
      <c r="AH36">
        <v>0</v>
      </c>
      <c r="AI36">
        <v>0</v>
      </c>
      <c r="AJ36">
        <v>-3.3118230359977998</v>
      </c>
      <c r="AK36">
        <v>100</v>
      </c>
      <c r="AL36" t="s">
        <v>1622</v>
      </c>
      <c r="AO36" t="s">
        <v>92</v>
      </c>
      <c r="AP36" t="s">
        <v>93</v>
      </c>
      <c r="AQ36" t="s">
        <v>1623</v>
      </c>
      <c r="AT36">
        <v>-838.78359999999998</v>
      </c>
      <c r="AU36">
        <v>1500</v>
      </c>
      <c r="AX36" t="s">
        <v>76</v>
      </c>
      <c r="AY36" t="s">
        <v>1624</v>
      </c>
      <c r="BA36" t="s">
        <v>1253</v>
      </c>
      <c r="BG36">
        <v>500</v>
      </c>
      <c r="BH36">
        <v>506</v>
      </c>
      <c r="BI36" t="s">
        <v>1252</v>
      </c>
      <c r="BJ36" t="s">
        <v>1405</v>
      </c>
      <c r="BK36">
        <v>1</v>
      </c>
      <c r="CA36" t="s">
        <v>1410</v>
      </c>
      <c r="CB36" t="s">
        <v>1174</v>
      </c>
      <c r="CC36" t="s">
        <v>1174</v>
      </c>
      <c r="CD36" s="52" t="e">
        <f ca="1">_xll.BDP($AY36&amp;" "&amp;$CA36,CD$3)</f>
        <v>#NAME?</v>
      </c>
      <c r="CE36" s="52" t="e">
        <f ca="1">_xll.BDP($AY36&amp;" "&amp;$CA36,CE$3)</f>
        <v>#NAME?</v>
      </c>
      <c r="CF36" s="52" t="e">
        <f ca="1">_xll.BDP($AY36&amp;" "&amp;$CA36,CF$3)</f>
        <v>#NAME?</v>
      </c>
      <c r="CG36" s="52" t="e">
        <f ca="1">_xll.BDP($AY36&amp;" "&amp;$CA36,CG$3)</f>
        <v>#NAME?</v>
      </c>
      <c r="CH36" s="52" t="e">
        <f ca="1">_xll.BDP($AY36&amp;" "&amp;$CA36,CH$3)</f>
        <v>#NAME?</v>
      </c>
      <c r="CI36" s="52" t="e">
        <f ca="1">_xll.BDP($AY36&amp;" "&amp;$CA36,CI$3)</f>
        <v>#NAME?</v>
      </c>
      <c r="CJ36" s="52" t="e">
        <f ca="1">_xll.BDP($AY36&amp;" "&amp;$CA36,CJ$3)</f>
        <v>#NAME?</v>
      </c>
      <c r="CK36" s="52" t="e">
        <f ca="1">_xll.BDP($AY36&amp;" "&amp;$CA36,CK$3)</f>
        <v>#NAME?</v>
      </c>
      <c r="CL36" s="52" t="e">
        <f ca="1">_xll.BDP($AY36&amp;" "&amp;$CA36,CL$3)</f>
        <v>#NAME?</v>
      </c>
      <c r="CM36" s="52" t="e">
        <f ca="1">_xll.BDP($AY36&amp;" "&amp;$CA36,CM$3)</f>
        <v>#NAME?</v>
      </c>
      <c r="CN36" s="52" t="e">
        <f ca="1">_xll.BDP($AY36&amp;" "&amp;$CA36,CN$3)</f>
        <v>#NAME?</v>
      </c>
      <c r="CO36" s="52" t="e">
        <f ca="1">_xll.BDP($AY36&amp;" "&amp;$CA36,CO$3)</f>
        <v>#NAME?</v>
      </c>
      <c r="CP36" s="52" t="e">
        <f ca="1">_xll.BDP($AY36&amp;" "&amp;$CA36,CP$3)</f>
        <v>#NAME?</v>
      </c>
      <c r="CQ36" s="52" t="e">
        <f ca="1">_xll.BDP($AY36&amp;" "&amp;$CA36,CQ$3)</f>
        <v>#NAME?</v>
      </c>
      <c r="CR36" s="52" t="e">
        <f ca="1">_xll.BDP($AY36&amp;" "&amp;$CA36,CR$3)</f>
        <v>#NAME?</v>
      </c>
      <c r="CS36" s="52" t="e">
        <f ca="1">_xll.BDP($AY36&amp;" "&amp;$CA36,CS$3)</f>
        <v>#NAME?</v>
      </c>
      <c r="CT36" s="52" t="e">
        <f ca="1">_xll.BDP($AY36&amp;" "&amp;$CA36,CT$3)</f>
        <v>#NAME?</v>
      </c>
      <c r="CU36" s="52" t="e">
        <f ca="1">_xll.BDP($CT36&amp;" EQUITY",CU$3)</f>
        <v>#NAME?</v>
      </c>
      <c r="CV36" s="52" t="e">
        <f ca="1">_xll.BDP($CT36&amp;" EQUITY",CV$3)</f>
        <v>#NAME?</v>
      </c>
      <c r="CW36" s="52" t="e">
        <f ca="1">_xll.BDP($CT36&amp;" EQUITY",CW$3)</f>
        <v>#NAME?</v>
      </c>
      <c r="CX36" s="52" t="e">
        <f ca="1">_xll.BDP($CT36&amp;" EQUITY",CX$3)</f>
        <v>#NAME?</v>
      </c>
      <c r="CY36" s="52" t="e">
        <f ca="1">_xll.BDH($CT36&amp;" EQUITY",CY$3,CY$2,CY$2)</f>
        <v>#NAME?</v>
      </c>
      <c r="CZ36" s="52" t="e">
        <f ca="1">_xll.BDH($CT36&amp;" EQUITY",CZ$3,CZ$2,CZ$2)</f>
        <v>#NAME?</v>
      </c>
      <c r="DA36" s="52" t="e">
        <f ca="1">_xll.BDH($CT36&amp;" EQUITY",DA$3,DA$2,DA$2)</f>
        <v>#NAME?</v>
      </c>
      <c r="DB36" s="52" t="e">
        <f ca="1">_xll.BDH($CT36&amp;" EQUITY",DB$3,DB$2,DB$2)</f>
        <v>#NAME?</v>
      </c>
      <c r="DC36" s="52" t="e">
        <f ca="1">_xll.BDH($CT36&amp;" EQUITY",DC$3,DC$2,DC$2)</f>
        <v>#NAME?</v>
      </c>
      <c r="DD36" s="52" t="e">
        <f ca="1">_xll.BDH($CT36&amp;" EQUITY",DD$3,DD$2,DD$2)</f>
        <v>#NAME?</v>
      </c>
      <c r="DE36" s="52" t="e">
        <f ca="1">_xll.BDH($CT36&amp;" EQUITY",DE$3,DE$2,DE$2)</f>
        <v>#NAME?</v>
      </c>
      <c r="DF36" s="52" t="e">
        <f ca="1">_xll.BDH($CT36&amp;" EQUITY",DF$3,DF$2,DF$2)</f>
        <v>#NAME?</v>
      </c>
      <c r="DG36" s="52" t="e">
        <f ca="1">_xll.BDH($CT36&amp;" EQUITY",DG$3,DG$2,DG$2)</f>
        <v>#NAME?</v>
      </c>
      <c r="DH36" s="52" t="e">
        <f ca="1">_xll.BDH($CT36&amp;" EQUITY",DH$3,DH$2,DH$2)</f>
        <v>#NAME?</v>
      </c>
      <c r="DI36" s="52" t="e">
        <f ca="1">_xll.BDH($CT36&amp;" EQUITY",DI$3,DI$2,DI$2)</f>
        <v>#NAME?</v>
      </c>
      <c r="DJ36" s="52" t="e">
        <f ca="1">_xll.BDH($CT36&amp;" EQUITY",DJ$3,DJ$2,DJ$2)</f>
        <v>#NAME?</v>
      </c>
    </row>
    <row r="37" spans="1:114" x14ac:dyDescent="0.25">
      <c r="A37" t="s">
        <v>1625</v>
      </c>
      <c r="D37">
        <v>214777122</v>
      </c>
      <c r="E37" t="s">
        <v>1215</v>
      </c>
      <c r="G37" t="s">
        <v>1251</v>
      </c>
      <c r="H37">
        <v>91017</v>
      </c>
      <c r="I37" t="s">
        <v>1254</v>
      </c>
      <c r="J37" t="s">
        <v>1252</v>
      </c>
      <c r="K37" t="s">
        <v>1405</v>
      </c>
      <c r="L37" t="s">
        <v>1464</v>
      </c>
      <c r="M37" t="s">
        <v>1250</v>
      </c>
      <c r="O37">
        <v>42292</v>
      </c>
      <c r="P37">
        <v>42292</v>
      </c>
      <c r="R37" t="s">
        <v>74</v>
      </c>
      <c r="S37">
        <v>-498000</v>
      </c>
      <c r="T37">
        <v>-498000</v>
      </c>
      <c r="W37">
        <v>-496685.28</v>
      </c>
      <c r="Y37">
        <v>1</v>
      </c>
      <c r="Z37" t="s">
        <v>75</v>
      </c>
      <c r="AE37" t="s">
        <v>1406</v>
      </c>
      <c r="AF37">
        <v>51.843072713003501</v>
      </c>
      <c r="AG37">
        <v>-51.848484559974203</v>
      </c>
      <c r="AH37">
        <v>0</v>
      </c>
      <c r="AI37">
        <v>0</v>
      </c>
      <c r="AJ37">
        <v>-3.22143398999469</v>
      </c>
      <c r="AK37">
        <v>100</v>
      </c>
      <c r="AL37" t="s">
        <v>1626</v>
      </c>
      <c r="AO37" t="s">
        <v>92</v>
      </c>
      <c r="AP37" t="s">
        <v>93</v>
      </c>
      <c r="AQ37" t="s">
        <v>1627</v>
      </c>
      <c r="AT37">
        <v>-849.7473</v>
      </c>
      <c r="AU37">
        <v>1494</v>
      </c>
      <c r="AX37" t="s">
        <v>76</v>
      </c>
      <c r="AY37" t="s">
        <v>1628</v>
      </c>
      <c r="BA37" t="s">
        <v>1253</v>
      </c>
      <c r="BG37">
        <v>500</v>
      </c>
      <c r="BH37">
        <v>506</v>
      </c>
      <c r="BI37" t="s">
        <v>1252</v>
      </c>
      <c r="BJ37" t="s">
        <v>1405</v>
      </c>
      <c r="BK37">
        <v>1</v>
      </c>
      <c r="CA37" t="s">
        <v>1410</v>
      </c>
      <c r="CB37" t="s">
        <v>1174</v>
      </c>
      <c r="CC37" t="s">
        <v>1174</v>
      </c>
      <c r="CD37" s="52" t="e">
        <f ca="1">_xll.BDP($AY37&amp;" "&amp;$CA37,CD$3)</f>
        <v>#NAME?</v>
      </c>
      <c r="CE37" s="52" t="e">
        <f ca="1">_xll.BDP($AY37&amp;" "&amp;$CA37,CE$3)</f>
        <v>#NAME?</v>
      </c>
      <c r="CF37" s="52" t="e">
        <f ca="1">_xll.BDP($AY37&amp;" "&amp;$CA37,CF$3)</f>
        <v>#NAME?</v>
      </c>
      <c r="CG37" s="52" t="e">
        <f ca="1">_xll.BDP($AY37&amp;" "&amp;$CA37,CG$3)</f>
        <v>#NAME?</v>
      </c>
      <c r="CH37" s="52" t="e">
        <f ca="1">_xll.BDP($AY37&amp;" "&amp;$CA37,CH$3)</f>
        <v>#NAME?</v>
      </c>
      <c r="CI37" s="52" t="e">
        <f ca="1">_xll.BDP($AY37&amp;" "&amp;$CA37,CI$3)</f>
        <v>#NAME?</v>
      </c>
      <c r="CJ37" s="52" t="e">
        <f ca="1">_xll.BDP($AY37&amp;" "&amp;$CA37,CJ$3)</f>
        <v>#NAME?</v>
      </c>
      <c r="CK37" s="52" t="e">
        <f ca="1">_xll.BDP($AY37&amp;" "&amp;$CA37,CK$3)</f>
        <v>#NAME?</v>
      </c>
      <c r="CL37" s="52" t="e">
        <f ca="1">_xll.BDP($AY37&amp;" "&amp;$CA37,CL$3)</f>
        <v>#NAME?</v>
      </c>
      <c r="CM37" s="52" t="e">
        <f ca="1">_xll.BDP($AY37&amp;" "&amp;$CA37,CM$3)</f>
        <v>#NAME?</v>
      </c>
      <c r="CN37" s="52" t="e">
        <f ca="1">_xll.BDP($AY37&amp;" "&amp;$CA37,CN$3)</f>
        <v>#NAME?</v>
      </c>
      <c r="CO37" s="52" t="e">
        <f ca="1">_xll.BDP($AY37&amp;" "&amp;$CA37,CO$3)</f>
        <v>#NAME?</v>
      </c>
      <c r="CP37" s="52" t="e">
        <f ca="1">_xll.BDP($AY37&amp;" "&amp;$CA37,CP$3)</f>
        <v>#NAME?</v>
      </c>
      <c r="CQ37" s="52" t="e">
        <f ca="1">_xll.BDP($AY37&amp;" "&amp;$CA37,CQ$3)</f>
        <v>#NAME?</v>
      </c>
      <c r="CR37" s="52" t="e">
        <f ca="1">_xll.BDP($AY37&amp;" "&amp;$CA37,CR$3)</f>
        <v>#NAME?</v>
      </c>
      <c r="CS37" s="52" t="e">
        <f ca="1">_xll.BDP($AY37&amp;" "&amp;$CA37,CS$3)</f>
        <v>#NAME?</v>
      </c>
      <c r="CT37" s="52" t="e">
        <f ca="1">_xll.BDP($AY37&amp;" "&amp;$CA37,CT$3)</f>
        <v>#NAME?</v>
      </c>
      <c r="CU37" s="52" t="e">
        <f ca="1">_xll.BDP($CT37&amp;" EQUITY",CU$3)</f>
        <v>#NAME?</v>
      </c>
      <c r="CV37" s="52" t="e">
        <f ca="1">_xll.BDP($CT37&amp;" EQUITY",CV$3)</f>
        <v>#NAME?</v>
      </c>
      <c r="CW37" s="52" t="e">
        <f ca="1">_xll.BDP($CT37&amp;" EQUITY",CW$3)</f>
        <v>#NAME?</v>
      </c>
      <c r="CX37" s="52" t="e">
        <f ca="1">_xll.BDP($CT37&amp;" EQUITY",CX$3)</f>
        <v>#NAME?</v>
      </c>
      <c r="CY37" s="52" t="e">
        <f ca="1">_xll.BDH($CT37&amp;" EQUITY",CY$3,CY$2,CY$2)</f>
        <v>#NAME?</v>
      </c>
      <c r="CZ37" s="52" t="e">
        <f ca="1">_xll.BDH($CT37&amp;" EQUITY",CZ$3,CZ$2,CZ$2)</f>
        <v>#NAME?</v>
      </c>
      <c r="DA37" s="52" t="e">
        <f ca="1">_xll.BDH($CT37&amp;" EQUITY",DA$3,DA$2,DA$2)</f>
        <v>#NAME?</v>
      </c>
      <c r="DB37" s="52" t="e">
        <f ca="1">_xll.BDH($CT37&amp;" EQUITY",DB$3,DB$2,DB$2)</f>
        <v>#NAME?</v>
      </c>
      <c r="DC37" s="52" t="e">
        <f ca="1">_xll.BDH($CT37&amp;" EQUITY",DC$3,DC$2,DC$2)</f>
        <v>#NAME?</v>
      </c>
      <c r="DD37" s="52" t="e">
        <f ca="1">_xll.BDH($CT37&amp;" EQUITY",DD$3,DD$2,DD$2)</f>
        <v>#NAME?</v>
      </c>
      <c r="DE37" s="52" t="e">
        <f ca="1">_xll.BDH($CT37&amp;" EQUITY",DE$3,DE$2,DE$2)</f>
        <v>#NAME?</v>
      </c>
      <c r="DF37" s="52" t="e">
        <f ca="1">_xll.BDH($CT37&amp;" EQUITY",DF$3,DF$2,DF$2)</f>
        <v>#NAME?</v>
      </c>
      <c r="DG37" s="52" t="e">
        <f ca="1">_xll.BDH($CT37&amp;" EQUITY",DG$3,DG$2,DG$2)</f>
        <v>#NAME?</v>
      </c>
      <c r="DH37" s="52" t="e">
        <f ca="1">_xll.BDH($CT37&amp;" EQUITY",DH$3,DH$2,DH$2)</f>
        <v>#NAME?</v>
      </c>
      <c r="DI37" s="52" t="e">
        <f ca="1">_xll.BDH($CT37&amp;" EQUITY",DI$3,DI$2,DI$2)</f>
        <v>#NAME?</v>
      </c>
      <c r="DJ37" s="52" t="e">
        <f ca="1">_xll.BDH($CT37&amp;" EQUITY",DJ$3,DJ$2,DJ$2)</f>
        <v>#NAME?</v>
      </c>
    </row>
    <row r="38" spans="1:114" x14ac:dyDescent="0.25">
      <c r="A38" t="s">
        <v>1629</v>
      </c>
      <c r="D38">
        <v>214777131</v>
      </c>
      <c r="E38" t="s">
        <v>1215</v>
      </c>
      <c r="G38" t="s">
        <v>1251</v>
      </c>
      <c r="H38">
        <v>91017</v>
      </c>
      <c r="I38" t="s">
        <v>1254</v>
      </c>
      <c r="J38" t="s">
        <v>1252</v>
      </c>
      <c r="K38" t="s">
        <v>1405</v>
      </c>
      <c r="L38" t="s">
        <v>1426</v>
      </c>
      <c r="M38" t="s">
        <v>1250</v>
      </c>
      <c r="O38">
        <v>42285</v>
      </c>
      <c r="P38">
        <v>42285</v>
      </c>
      <c r="R38" t="s">
        <v>74</v>
      </c>
      <c r="S38">
        <v>-547000</v>
      </c>
      <c r="T38">
        <v>-547000</v>
      </c>
      <c r="W38">
        <v>-545867.71</v>
      </c>
      <c r="Y38">
        <v>1</v>
      </c>
      <c r="Z38" t="s">
        <v>75</v>
      </c>
      <c r="AE38" t="s">
        <v>1406</v>
      </c>
      <c r="AF38">
        <v>55.929880677955197</v>
      </c>
      <c r="AG38">
        <v>-55.935611869092099</v>
      </c>
      <c r="AH38">
        <v>0</v>
      </c>
      <c r="AI38">
        <v>0</v>
      </c>
      <c r="AJ38">
        <v>-3.6134250920731601</v>
      </c>
      <c r="AK38">
        <v>100</v>
      </c>
      <c r="AL38" t="s">
        <v>1467</v>
      </c>
      <c r="AO38" t="s">
        <v>92</v>
      </c>
      <c r="AP38" t="s">
        <v>93</v>
      </c>
      <c r="AQ38" t="s">
        <v>1630</v>
      </c>
      <c r="AT38">
        <v>-916.71799999999996</v>
      </c>
      <c r="AU38">
        <v>1641</v>
      </c>
      <c r="AX38" t="s">
        <v>76</v>
      </c>
      <c r="AY38" t="s">
        <v>1631</v>
      </c>
      <c r="BA38" t="s">
        <v>1253</v>
      </c>
      <c r="BG38">
        <v>500</v>
      </c>
      <c r="BH38">
        <v>506</v>
      </c>
      <c r="BI38" t="s">
        <v>1252</v>
      </c>
      <c r="BJ38" t="s">
        <v>1405</v>
      </c>
      <c r="BK38">
        <v>1</v>
      </c>
      <c r="CA38" t="s">
        <v>1410</v>
      </c>
      <c r="CB38" t="s">
        <v>1174</v>
      </c>
      <c r="CC38" t="s">
        <v>1174</v>
      </c>
      <c r="CD38" s="52" t="e">
        <f ca="1">_xll.BDP($AY38&amp;" "&amp;$CA38,CD$3)</f>
        <v>#NAME?</v>
      </c>
      <c r="CE38" s="52" t="e">
        <f ca="1">_xll.BDP($AY38&amp;" "&amp;$CA38,CE$3)</f>
        <v>#NAME?</v>
      </c>
      <c r="CF38" s="52" t="e">
        <f ca="1">_xll.BDP($AY38&amp;" "&amp;$CA38,CF$3)</f>
        <v>#NAME?</v>
      </c>
      <c r="CG38" s="52" t="e">
        <f ca="1">_xll.BDP($AY38&amp;" "&amp;$CA38,CG$3)</f>
        <v>#NAME?</v>
      </c>
      <c r="CH38" s="52" t="e">
        <f ca="1">_xll.BDP($AY38&amp;" "&amp;$CA38,CH$3)</f>
        <v>#NAME?</v>
      </c>
      <c r="CI38" s="52" t="e">
        <f ca="1">_xll.BDP($AY38&amp;" "&amp;$CA38,CI$3)</f>
        <v>#NAME?</v>
      </c>
      <c r="CJ38" s="52" t="e">
        <f ca="1">_xll.BDP($AY38&amp;" "&amp;$CA38,CJ$3)</f>
        <v>#NAME?</v>
      </c>
      <c r="CK38" s="52" t="e">
        <f ca="1">_xll.BDP($AY38&amp;" "&amp;$CA38,CK$3)</f>
        <v>#NAME?</v>
      </c>
      <c r="CL38" s="52" t="e">
        <f ca="1">_xll.BDP($AY38&amp;" "&amp;$CA38,CL$3)</f>
        <v>#NAME?</v>
      </c>
      <c r="CM38" s="52" t="e">
        <f ca="1">_xll.BDP($AY38&amp;" "&amp;$CA38,CM$3)</f>
        <v>#NAME?</v>
      </c>
      <c r="CN38" s="52" t="e">
        <f ca="1">_xll.BDP($AY38&amp;" "&amp;$CA38,CN$3)</f>
        <v>#NAME?</v>
      </c>
      <c r="CO38" s="52" t="e">
        <f ca="1">_xll.BDP($AY38&amp;" "&amp;$CA38,CO$3)</f>
        <v>#NAME?</v>
      </c>
      <c r="CP38" s="52" t="e">
        <f ca="1">_xll.BDP($AY38&amp;" "&amp;$CA38,CP$3)</f>
        <v>#NAME?</v>
      </c>
      <c r="CQ38" s="52" t="e">
        <f ca="1">_xll.BDP($AY38&amp;" "&amp;$CA38,CQ$3)</f>
        <v>#NAME?</v>
      </c>
      <c r="CR38" s="52" t="e">
        <f ca="1">_xll.BDP($AY38&amp;" "&amp;$CA38,CR$3)</f>
        <v>#NAME?</v>
      </c>
      <c r="CS38" s="52" t="e">
        <f ca="1">_xll.BDP($AY38&amp;" "&amp;$CA38,CS$3)</f>
        <v>#NAME?</v>
      </c>
      <c r="CT38" s="52" t="e">
        <f ca="1">_xll.BDP($AY38&amp;" "&amp;$CA38,CT$3)</f>
        <v>#NAME?</v>
      </c>
      <c r="CU38" s="52" t="e">
        <f ca="1">_xll.BDP($CT38&amp;" EQUITY",CU$3)</f>
        <v>#NAME?</v>
      </c>
      <c r="CV38" s="52" t="e">
        <f ca="1">_xll.BDP($CT38&amp;" EQUITY",CV$3)</f>
        <v>#NAME?</v>
      </c>
      <c r="CW38" s="52" t="e">
        <f ca="1">_xll.BDP($CT38&amp;" EQUITY",CW$3)</f>
        <v>#NAME?</v>
      </c>
      <c r="CX38" s="52" t="e">
        <f ca="1">_xll.BDP($CT38&amp;" EQUITY",CX$3)</f>
        <v>#NAME?</v>
      </c>
      <c r="CY38" s="52" t="e">
        <f ca="1">_xll.BDH($CT38&amp;" EQUITY",CY$3,CY$2,CY$2)</f>
        <v>#NAME?</v>
      </c>
      <c r="CZ38" s="52" t="e">
        <f ca="1">_xll.BDH($CT38&amp;" EQUITY",CZ$3,CZ$2,CZ$2)</f>
        <v>#NAME?</v>
      </c>
      <c r="DA38" s="52" t="e">
        <f ca="1">_xll.BDH($CT38&amp;" EQUITY",DA$3,DA$2,DA$2)</f>
        <v>#NAME?</v>
      </c>
      <c r="DB38" s="52" t="e">
        <f ca="1">_xll.BDH($CT38&amp;" EQUITY",DB$3,DB$2,DB$2)</f>
        <v>#NAME?</v>
      </c>
      <c r="DC38" s="52" t="e">
        <f ca="1">_xll.BDH($CT38&amp;" EQUITY",DC$3,DC$2,DC$2)</f>
        <v>#NAME?</v>
      </c>
      <c r="DD38" s="52" t="e">
        <f ca="1">_xll.BDH($CT38&amp;" EQUITY",DD$3,DD$2,DD$2)</f>
        <v>#NAME?</v>
      </c>
      <c r="DE38" s="52" t="e">
        <f ca="1">_xll.BDH($CT38&amp;" EQUITY",DE$3,DE$2,DE$2)</f>
        <v>#NAME?</v>
      </c>
      <c r="DF38" s="52" t="e">
        <f ca="1">_xll.BDH($CT38&amp;" EQUITY",DF$3,DF$2,DF$2)</f>
        <v>#NAME?</v>
      </c>
      <c r="DG38" s="52" t="e">
        <f ca="1">_xll.BDH($CT38&amp;" EQUITY",DG$3,DG$2,DG$2)</f>
        <v>#NAME?</v>
      </c>
      <c r="DH38" s="52" t="e">
        <f ca="1">_xll.BDH($CT38&amp;" EQUITY",DH$3,DH$2,DH$2)</f>
        <v>#NAME?</v>
      </c>
      <c r="DI38" s="52" t="e">
        <f ca="1">_xll.BDH($CT38&amp;" EQUITY",DI$3,DI$2,DI$2)</f>
        <v>#NAME?</v>
      </c>
      <c r="DJ38" s="52" t="e">
        <f ca="1">_xll.BDH($CT38&amp;" EQUITY",DJ$3,DJ$2,DJ$2)</f>
        <v>#NAME?</v>
      </c>
    </row>
    <row r="39" spans="1:114" x14ac:dyDescent="0.25">
      <c r="A39" t="s">
        <v>1632</v>
      </c>
      <c r="D39">
        <v>214777134</v>
      </c>
      <c r="E39" t="s">
        <v>1215</v>
      </c>
      <c r="G39" t="s">
        <v>1251</v>
      </c>
      <c r="H39">
        <v>91017</v>
      </c>
      <c r="I39" t="s">
        <v>1254</v>
      </c>
      <c r="J39" t="s">
        <v>1252</v>
      </c>
      <c r="K39" t="s">
        <v>1405</v>
      </c>
      <c r="L39" t="s">
        <v>1633</v>
      </c>
      <c r="M39" t="s">
        <v>1250</v>
      </c>
      <c r="O39">
        <v>42012</v>
      </c>
      <c r="P39">
        <v>42012</v>
      </c>
      <c r="R39" t="s">
        <v>74</v>
      </c>
      <c r="S39">
        <v>-245000</v>
      </c>
      <c r="T39">
        <v>-245000</v>
      </c>
      <c r="W39">
        <v>-245000</v>
      </c>
      <c r="Y39">
        <v>1</v>
      </c>
      <c r="Z39" t="s">
        <v>75</v>
      </c>
      <c r="AE39" t="s">
        <v>1406</v>
      </c>
      <c r="AF39">
        <v>6.7793582580052298</v>
      </c>
      <c r="AG39">
        <v>-6.7795458539912898</v>
      </c>
      <c r="AH39">
        <v>0</v>
      </c>
      <c r="AI39">
        <v>0</v>
      </c>
      <c r="AJ39">
        <v>-0.87315148400375597</v>
      </c>
      <c r="AK39">
        <v>100</v>
      </c>
      <c r="AL39" t="s">
        <v>1634</v>
      </c>
      <c r="AO39" t="s">
        <v>92</v>
      </c>
      <c r="AP39" t="s">
        <v>93</v>
      </c>
      <c r="AQ39" t="s">
        <v>1635</v>
      </c>
      <c r="AT39">
        <v>-21.4026</v>
      </c>
      <c r="AU39">
        <v>735</v>
      </c>
      <c r="AX39" t="s">
        <v>76</v>
      </c>
      <c r="AY39" t="s">
        <v>1636</v>
      </c>
      <c r="BA39" t="s">
        <v>1253</v>
      </c>
      <c r="BG39">
        <v>500</v>
      </c>
      <c r="BH39">
        <v>506</v>
      </c>
      <c r="BI39" t="s">
        <v>1252</v>
      </c>
      <c r="BJ39" t="s">
        <v>1405</v>
      </c>
      <c r="BK39">
        <v>1</v>
      </c>
      <c r="CA39" t="s">
        <v>1410</v>
      </c>
      <c r="CB39" t="s">
        <v>1174</v>
      </c>
      <c r="CC39" t="s">
        <v>1174</v>
      </c>
      <c r="CD39" s="52" t="e">
        <f ca="1">_xll.BDP($AY39&amp;" "&amp;$CA39,CD$3)</f>
        <v>#NAME?</v>
      </c>
      <c r="CE39" s="52" t="e">
        <f ca="1">_xll.BDP($AY39&amp;" "&amp;$CA39,CE$3)</f>
        <v>#NAME?</v>
      </c>
      <c r="CF39" s="52" t="e">
        <f ca="1">_xll.BDP($AY39&amp;" "&amp;$CA39,CF$3)</f>
        <v>#NAME?</v>
      </c>
      <c r="CG39" s="52" t="e">
        <f ca="1">_xll.BDP($AY39&amp;" "&amp;$CA39,CG$3)</f>
        <v>#NAME?</v>
      </c>
      <c r="CH39" s="52" t="e">
        <f ca="1">_xll.BDP($AY39&amp;" "&amp;$CA39,CH$3)</f>
        <v>#NAME?</v>
      </c>
      <c r="CI39" s="52" t="e">
        <f ca="1">_xll.BDP($AY39&amp;" "&amp;$CA39,CI$3)</f>
        <v>#NAME?</v>
      </c>
      <c r="CJ39" s="52" t="e">
        <f ca="1">_xll.BDP($AY39&amp;" "&amp;$CA39,CJ$3)</f>
        <v>#NAME?</v>
      </c>
      <c r="CK39" s="52" t="e">
        <f ca="1">_xll.BDP($AY39&amp;" "&amp;$CA39,CK$3)</f>
        <v>#NAME?</v>
      </c>
      <c r="CL39" s="52" t="e">
        <f ca="1">_xll.BDP($AY39&amp;" "&amp;$CA39,CL$3)</f>
        <v>#NAME?</v>
      </c>
      <c r="CM39" s="52" t="e">
        <f ca="1">_xll.BDP($AY39&amp;" "&amp;$CA39,CM$3)</f>
        <v>#NAME?</v>
      </c>
      <c r="CN39" s="52" t="e">
        <f ca="1">_xll.BDP($AY39&amp;" "&amp;$CA39,CN$3)</f>
        <v>#NAME?</v>
      </c>
      <c r="CO39" s="52" t="e">
        <f ca="1">_xll.BDP($AY39&amp;" "&amp;$CA39,CO$3)</f>
        <v>#NAME?</v>
      </c>
      <c r="CP39" s="52" t="e">
        <f ca="1">_xll.BDP($AY39&amp;" "&amp;$CA39,CP$3)</f>
        <v>#NAME?</v>
      </c>
      <c r="CQ39" s="52" t="e">
        <f ca="1">_xll.BDP($AY39&amp;" "&amp;$CA39,CQ$3)</f>
        <v>#NAME?</v>
      </c>
      <c r="CR39" s="52" t="e">
        <f ca="1">_xll.BDP($AY39&amp;" "&amp;$CA39,CR$3)</f>
        <v>#NAME?</v>
      </c>
      <c r="CS39" s="52" t="e">
        <f ca="1">_xll.BDP($AY39&amp;" "&amp;$CA39,CS$3)</f>
        <v>#NAME?</v>
      </c>
      <c r="CT39" s="52" t="e">
        <f ca="1">_xll.BDP($AY39&amp;" "&amp;$CA39,CT$3)</f>
        <v>#NAME?</v>
      </c>
      <c r="CU39" s="52" t="e">
        <f ca="1">_xll.BDP($CT39&amp;" EQUITY",CU$3)</f>
        <v>#NAME?</v>
      </c>
      <c r="CV39" s="52" t="e">
        <f ca="1">_xll.BDP($CT39&amp;" EQUITY",CV$3)</f>
        <v>#NAME?</v>
      </c>
      <c r="CW39" s="52" t="e">
        <f ca="1">_xll.BDP($CT39&amp;" EQUITY",CW$3)</f>
        <v>#NAME?</v>
      </c>
      <c r="CX39" s="52" t="e">
        <f ca="1">_xll.BDP($CT39&amp;" EQUITY",CX$3)</f>
        <v>#NAME?</v>
      </c>
      <c r="CY39" s="52" t="e">
        <f ca="1">_xll.BDH($CT39&amp;" EQUITY",CY$3,CY$2,CY$2)</f>
        <v>#NAME?</v>
      </c>
      <c r="CZ39" s="52" t="e">
        <f ca="1">_xll.BDH($CT39&amp;" EQUITY",CZ$3,CZ$2,CZ$2)</f>
        <v>#NAME?</v>
      </c>
      <c r="DA39" s="52" t="e">
        <f ca="1">_xll.BDH($CT39&amp;" EQUITY",DA$3,DA$2,DA$2)</f>
        <v>#NAME?</v>
      </c>
      <c r="DB39" s="52" t="e">
        <f ca="1">_xll.BDH($CT39&amp;" EQUITY",DB$3,DB$2,DB$2)</f>
        <v>#NAME?</v>
      </c>
      <c r="DC39" s="52" t="e">
        <f ca="1">_xll.BDH($CT39&amp;" EQUITY",DC$3,DC$2,DC$2)</f>
        <v>#NAME?</v>
      </c>
      <c r="DD39" s="52" t="e">
        <f ca="1">_xll.BDH($CT39&amp;" EQUITY",DD$3,DD$2,DD$2)</f>
        <v>#NAME?</v>
      </c>
      <c r="DE39" s="52" t="e">
        <f ca="1">_xll.BDH($CT39&amp;" EQUITY",DE$3,DE$2,DE$2)</f>
        <v>#NAME?</v>
      </c>
      <c r="DF39" s="52" t="e">
        <f ca="1">_xll.BDH($CT39&amp;" EQUITY",DF$3,DF$2,DF$2)</f>
        <v>#NAME?</v>
      </c>
      <c r="DG39" s="52" t="e">
        <f ca="1">_xll.BDH($CT39&amp;" EQUITY",DG$3,DG$2,DG$2)</f>
        <v>#NAME?</v>
      </c>
      <c r="DH39" s="52" t="e">
        <f ca="1">_xll.BDH($CT39&amp;" EQUITY",DH$3,DH$2,DH$2)</f>
        <v>#NAME?</v>
      </c>
      <c r="DI39" s="52" t="e">
        <f ca="1">_xll.BDH($CT39&amp;" EQUITY",DI$3,DI$2,DI$2)</f>
        <v>#NAME?</v>
      </c>
      <c r="DJ39" s="52" t="e">
        <f ca="1">_xll.BDH($CT39&amp;" EQUITY",DJ$3,DJ$2,DJ$2)</f>
        <v>#NAME?</v>
      </c>
    </row>
    <row r="40" spans="1:114" x14ac:dyDescent="0.25">
      <c r="A40" t="s">
        <v>1637</v>
      </c>
      <c r="D40">
        <v>214777137</v>
      </c>
      <c r="E40" t="s">
        <v>1215</v>
      </c>
      <c r="G40" t="s">
        <v>1251</v>
      </c>
      <c r="H40">
        <v>91017</v>
      </c>
      <c r="I40" t="s">
        <v>1254</v>
      </c>
      <c r="J40" t="s">
        <v>1252</v>
      </c>
      <c r="K40" t="s">
        <v>1405</v>
      </c>
      <c r="L40" t="s">
        <v>1638</v>
      </c>
      <c r="M40" t="s">
        <v>1250</v>
      </c>
      <c r="O40">
        <v>42012</v>
      </c>
      <c r="P40">
        <v>42012</v>
      </c>
      <c r="R40" t="s">
        <v>74</v>
      </c>
      <c r="S40">
        <v>-1337000</v>
      </c>
      <c r="T40">
        <v>-1337000</v>
      </c>
      <c r="W40">
        <v>-1336491.94</v>
      </c>
      <c r="Y40">
        <v>1</v>
      </c>
      <c r="Z40" t="s">
        <v>75</v>
      </c>
      <c r="AE40" t="s">
        <v>1406</v>
      </c>
      <c r="AF40">
        <v>36.981868040049498</v>
      </c>
      <c r="AG40">
        <v>-36.9828913901001</v>
      </c>
      <c r="AH40">
        <v>0</v>
      </c>
      <c r="AI40">
        <v>0</v>
      </c>
      <c r="AJ40">
        <v>-9.7924702600576001</v>
      </c>
      <c r="AK40">
        <v>100</v>
      </c>
      <c r="AL40" t="s">
        <v>1639</v>
      </c>
      <c r="AO40" t="s">
        <v>92</v>
      </c>
      <c r="AP40" t="s">
        <v>93</v>
      </c>
      <c r="AQ40" t="s">
        <v>1640</v>
      </c>
      <c r="AT40">
        <v>-116.7527</v>
      </c>
      <c r="AU40">
        <v>4011</v>
      </c>
      <c r="AX40" t="s">
        <v>76</v>
      </c>
      <c r="AY40" t="s">
        <v>1641</v>
      </c>
      <c r="BA40" t="s">
        <v>1253</v>
      </c>
      <c r="BG40">
        <v>500</v>
      </c>
      <c r="BH40">
        <v>506</v>
      </c>
      <c r="BI40" t="s">
        <v>1252</v>
      </c>
      <c r="BJ40" t="s">
        <v>1405</v>
      </c>
      <c r="BK40">
        <v>1</v>
      </c>
      <c r="CA40" t="s">
        <v>1410</v>
      </c>
      <c r="CB40" t="s">
        <v>1174</v>
      </c>
      <c r="CC40" t="s">
        <v>1174</v>
      </c>
      <c r="CD40" s="52" t="e">
        <f ca="1">_xll.BDP($AY40&amp;" "&amp;$CA40,CD$3)</f>
        <v>#NAME?</v>
      </c>
      <c r="CE40" s="52" t="e">
        <f ca="1">_xll.BDP($AY40&amp;" "&amp;$CA40,CE$3)</f>
        <v>#NAME?</v>
      </c>
      <c r="CF40" s="52" t="e">
        <f ca="1">_xll.BDP($AY40&amp;" "&amp;$CA40,CF$3)</f>
        <v>#NAME?</v>
      </c>
      <c r="CG40" s="52" t="e">
        <f ca="1">_xll.BDP($AY40&amp;" "&amp;$CA40,CG$3)</f>
        <v>#NAME?</v>
      </c>
      <c r="CH40" s="52" t="e">
        <f ca="1">_xll.BDP($AY40&amp;" "&amp;$CA40,CH$3)</f>
        <v>#NAME?</v>
      </c>
      <c r="CI40" s="52" t="e">
        <f ca="1">_xll.BDP($AY40&amp;" "&amp;$CA40,CI$3)</f>
        <v>#NAME?</v>
      </c>
      <c r="CJ40" s="52" t="e">
        <f ca="1">_xll.BDP($AY40&amp;" "&amp;$CA40,CJ$3)</f>
        <v>#NAME?</v>
      </c>
      <c r="CK40" s="52" t="e">
        <f ca="1">_xll.BDP($AY40&amp;" "&amp;$CA40,CK$3)</f>
        <v>#NAME?</v>
      </c>
      <c r="CL40" s="52" t="e">
        <f ca="1">_xll.BDP($AY40&amp;" "&amp;$CA40,CL$3)</f>
        <v>#NAME?</v>
      </c>
      <c r="CM40" s="52" t="e">
        <f ca="1">_xll.BDP($AY40&amp;" "&amp;$CA40,CM$3)</f>
        <v>#NAME?</v>
      </c>
      <c r="CN40" s="52" t="e">
        <f ca="1">_xll.BDP($AY40&amp;" "&amp;$CA40,CN$3)</f>
        <v>#NAME?</v>
      </c>
      <c r="CO40" s="52" t="e">
        <f ca="1">_xll.BDP($AY40&amp;" "&amp;$CA40,CO$3)</f>
        <v>#NAME?</v>
      </c>
      <c r="CP40" s="52" t="e">
        <f ca="1">_xll.BDP($AY40&amp;" "&amp;$CA40,CP$3)</f>
        <v>#NAME?</v>
      </c>
      <c r="CQ40" s="52" t="e">
        <f ca="1">_xll.BDP($AY40&amp;" "&amp;$CA40,CQ$3)</f>
        <v>#NAME?</v>
      </c>
      <c r="CR40" s="52" t="e">
        <f ca="1">_xll.BDP($AY40&amp;" "&amp;$CA40,CR$3)</f>
        <v>#NAME?</v>
      </c>
      <c r="CS40" s="52" t="e">
        <f ca="1">_xll.BDP($AY40&amp;" "&amp;$CA40,CS$3)</f>
        <v>#NAME?</v>
      </c>
      <c r="CT40" s="52" t="e">
        <f ca="1">_xll.BDP($AY40&amp;" "&amp;$CA40,CT$3)</f>
        <v>#NAME?</v>
      </c>
      <c r="CU40" s="52" t="e">
        <f ca="1">_xll.BDP($CT40&amp;" EQUITY",CU$3)</f>
        <v>#NAME?</v>
      </c>
      <c r="CV40" s="52" t="e">
        <f ca="1">_xll.BDP($CT40&amp;" EQUITY",CV$3)</f>
        <v>#NAME?</v>
      </c>
      <c r="CW40" s="52" t="e">
        <f ca="1">_xll.BDP($CT40&amp;" EQUITY",CW$3)</f>
        <v>#NAME?</v>
      </c>
      <c r="CX40" s="52" t="e">
        <f ca="1">_xll.BDP($CT40&amp;" EQUITY",CX$3)</f>
        <v>#NAME?</v>
      </c>
      <c r="CY40" s="52" t="e">
        <f ca="1">_xll.BDH($CT40&amp;" EQUITY",CY$3,CY$2,CY$2)</f>
        <v>#NAME?</v>
      </c>
      <c r="CZ40" s="52" t="e">
        <f ca="1">_xll.BDH($CT40&amp;" EQUITY",CZ$3,CZ$2,CZ$2)</f>
        <v>#NAME?</v>
      </c>
      <c r="DA40" s="52" t="e">
        <f ca="1">_xll.BDH($CT40&amp;" EQUITY",DA$3,DA$2,DA$2)</f>
        <v>#NAME?</v>
      </c>
      <c r="DB40" s="52" t="e">
        <f ca="1">_xll.BDH($CT40&amp;" EQUITY",DB$3,DB$2,DB$2)</f>
        <v>#NAME?</v>
      </c>
      <c r="DC40" s="52" t="e">
        <f ca="1">_xll.BDH($CT40&amp;" EQUITY",DC$3,DC$2,DC$2)</f>
        <v>#NAME?</v>
      </c>
      <c r="DD40" s="52" t="e">
        <f ca="1">_xll.BDH($CT40&amp;" EQUITY",DD$3,DD$2,DD$2)</f>
        <v>#NAME?</v>
      </c>
      <c r="DE40" s="52" t="e">
        <f ca="1">_xll.BDH($CT40&amp;" EQUITY",DE$3,DE$2,DE$2)</f>
        <v>#NAME?</v>
      </c>
      <c r="DF40" s="52" t="e">
        <f ca="1">_xll.BDH($CT40&amp;" EQUITY",DF$3,DF$2,DF$2)</f>
        <v>#NAME?</v>
      </c>
      <c r="DG40" s="52" t="e">
        <f ca="1">_xll.BDH($CT40&amp;" EQUITY",DG$3,DG$2,DG$2)</f>
        <v>#NAME?</v>
      </c>
      <c r="DH40" s="52" t="e">
        <f ca="1">_xll.BDH($CT40&amp;" EQUITY",DH$3,DH$2,DH$2)</f>
        <v>#NAME?</v>
      </c>
      <c r="DI40" s="52" t="e">
        <f ca="1">_xll.BDH($CT40&amp;" EQUITY",DI$3,DI$2,DI$2)</f>
        <v>#NAME?</v>
      </c>
      <c r="DJ40" s="52" t="e">
        <f ca="1">_xll.BDH($CT40&amp;" EQUITY",DJ$3,DJ$2,DJ$2)</f>
        <v>#NAME?</v>
      </c>
    </row>
    <row r="41" spans="1:114" x14ac:dyDescent="0.25">
      <c r="A41" t="s">
        <v>1642</v>
      </c>
      <c r="D41">
        <v>214777138</v>
      </c>
      <c r="E41" t="s">
        <v>1215</v>
      </c>
      <c r="G41" t="s">
        <v>1251</v>
      </c>
      <c r="H41">
        <v>91017</v>
      </c>
      <c r="I41" t="s">
        <v>1254</v>
      </c>
      <c r="J41" t="s">
        <v>1252</v>
      </c>
      <c r="K41" t="s">
        <v>1405</v>
      </c>
      <c r="L41" t="s">
        <v>1638</v>
      </c>
      <c r="M41" t="s">
        <v>1250</v>
      </c>
      <c r="O41">
        <v>42102</v>
      </c>
      <c r="P41">
        <v>42102</v>
      </c>
      <c r="R41" t="s">
        <v>74</v>
      </c>
      <c r="S41">
        <v>-274000</v>
      </c>
      <c r="T41">
        <v>-274000</v>
      </c>
      <c r="W41">
        <v>-273863</v>
      </c>
      <c r="Y41">
        <v>1</v>
      </c>
      <c r="Z41" t="s">
        <v>75</v>
      </c>
      <c r="AE41" t="s">
        <v>1406</v>
      </c>
      <c r="AF41">
        <v>14.3305381970131</v>
      </c>
      <c r="AG41">
        <v>-14.3312881169841</v>
      </c>
      <c r="AH41">
        <v>0</v>
      </c>
      <c r="AI41">
        <v>0</v>
      </c>
      <c r="AJ41">
        <v>-1.5742399960290601</v>
      </c>
      <c r="AK41">
        <v>100</v>
      </c>
      <c r="AL41" t="s">
        <v>1469</v>
      </c>
      <c r="AO41" t="s">
        <v>92</v>
      </c>
      <c r="AP41" t="s">
        <v>93</v>
      </c>
      <c r="AQ41" t="s">
        <v>1643</v>
      </c>
      <c r="AT41">
        <v>-112.6913</v>
      </c>
      <c r="AU41">
        <v>822</v>
      </c>
      <c r="AX41" t="s">
        <v>76</v>
      </c>
      <c r="AY41" t="s">
        <v>1644</v>
      </c>
      <c r="BA41" t="s">
        <v>1253</v>
      </c>
      <c r="BG41">
        <v>500</v>
      </c>
      <c r="BH41">
        <v>506</v>
      </c>
      <c r="BI41" t="s">
        <v>1252</v>
      </c>
      <c r="BJ41" t="s">
        <v>1405</v>
      </c>
      <c r="BK41">
        <v>1</v>
      </c>
      <c r="CA41" t="s">
        <v>1410</v>
      </c>
      <c r="CB41" t="s">
        <v>1174</v>
      </c>
      <c r="CC41" t="s">
        <v>1174</v>
      </c>
      <c r="CD41" s="52" t="e">
        <f ca="1">_xll.BDP($AY41&amp;" "&amp;$CA41,CD$3)</f>
        <v>#NAME?</v>
      </c>
      <c r="CE41" s="52" t="e">
        <f ca="1">_xll.BDP($AY41&amp;" "&amp;$CA41,CE$3)</f>
        <v>#NAME?</v>
      </c>
      <c r="CF41" s="52" t="e">
        <f ca="1">_xll.BDP($AY41&amp;" "&amp;$CA41,CF$3)</f>
        <v>#NAME?</v>
      </c>
      <c r="CG41" s="52" t="e">
        <f ca="1">_xll.BDP($AY41&amp;" "&amp;$CA41,CG$3)</f>
        <v>#NAME?</v>
      </c>
      <c r="CH41" s="52" t="e">
        <f ca="1">_xll.BDP($AY41&amp;" "&amp;$CA41,CH$3)</f>
        <v>#NAME?</v>
      </c>
      <c r="CI41" s="52" t="e">
        <f ca="1">_xll.BDP($AY41&amp;" "&amp;$CA41,CI$3)</f>
        <v>#NAME?</v>
      </c>
      <c r="CJ41" s="52" t="e">
        <f ca="1">_xll.BDP($AY41&amp;" "&amp;$CA41,CJ$3)</f>
        <v>#NAME?</v>
      </c>
      <c r="CK41" s="52" t="e">
        <f ca="1">_xll.BDP($AY41&amp;" "&amp;$CA41,CK$3)</f>
        <v>#NAME?</v>
      </c>
      <c r="CL41" s="52" t="e">
        <f ca="1">_xll.BDP($AY41&amp;" "&amp;$CA41,CL$3)</f>
        <v>#NAME?</v>
      </c>
      <c r="CM41" s="52" t="e">
        <f ca="1">_xll.BDP($AY41&amp;" "&amp;$CA41,CM$3)</f>
        <v>#NAME?</v>
      </c>
      <c r="CN41" s="52" t="e">
        <f ca="1">_xll.BDP($AY41&amp;" "&amp;$CA41,CN$3)</f>
        <v>#NAME?</v>
      </c>
      <c r="CO41" s="52" t="e">
        <f ca="1">_xll.BDP($AY41&amp;" "&amp;$CA41,CO$3)</f>
        <v>#NAME?</v>
      </c>
      <c r="CP41" s="52" t="e">
        <f ca="1">_xll.BDP($AY41&amp;" "&amp;$CA41,CP$3)</f>
        <v>#NAME?</v>
      </c>
      <c r="CQ41" s="52" t="e">
        <f ca="1">_xll.BDP($AY41&amp;" "&amp;$CA41,CQ$3)</f>
        <v>#NAME?</v>
      </c>
      <c r="CR41" s="52" t="e">
        <f ca="1">_xll.BDP($AY41&amp;" "&amp;$CA41,CR$3)</f>
        <v>#NAME?</v>
      </c>
      <c r="CS41" s="52" t="e">
        <f ca="1">_xll.BDP($AY41&amp;" "&amp;$CA41,CS$3)</f>
        <v>#NAME?</v>
      </c>
      <c r="CT41" s="52" t="e">
        <f ca="1">_xll.BDP($AY41&amp;" "&amp;$CA41,CT$3)</f>
        <v>#NAME?</v>
      </c>
      <c r="CU41" s="52" t="e">
        <f ca="1">_xll.BDP($CT41&amp;" EQUITY",CU$3)</f>
        <v>#NAME?</v>
      </c>
      <c r="CV41" s="52" t="e">
        <f ca="1">_xll.BDP($CT41&amp;" EQUITY",CV$3)</f>
        <v>#NAME?</v>
      </c>
      <c r="CW41" s="52" t="e">
        <f ca="1">_xll.BDP($CT41&amp;" EQUITY",CW$3)</f>
        <v>#NAME?</v>
      </c>
      <c r="CX41" s="52" t="e">
        <f ca="1">_xll.BDP($CT41&amp;" EQUITY",CX$3)</f>
        <v>#NAME?</v>
      </c>
      <c r="CY41" s="52" t="e">
        <f ca="1">_xll.BDH($CT41&amp;" EQUITY",CY$3,CY$2,CY$2)</f>
        <v>#NAME?</v>
      </c>
      <c r="CZ41" s="52" t="e">
        <f ca="1">_xll.BDH($CT41&amp;" EQUITY",CZ$3,CZ$2,CZ$2)</f>
        <v>#NAME?</v>
      </c>
      <c r="DA41" s="52" t="e">
        <f ca="1">_xll.BDH($CT41&amp;" EQUITY",DA$3,DA$2,DA$2)</f>
        <v>#NAME?</v>
      </c>
      <c r="DB41" s="52" t="e">
        <f ca="1">_xll.BDH($CT41&amp;" EQUITY",DB$3,DB$2,DB$2)</f>
        <v>#NAME?</v>
      </c>
      <c r="DC41" s="52" t="e">
        <f ca="1">_xll.BDH($CT41&amp;" EQUITY",DC$3,DC$2,DC$2)</f>
        <v>#NAME?</v>
      </c>
      <c r="DD41" s="52" t="e">
        <f ca="1">_xll.BDH($CT41&amp;" EQUITY",DD$3,DD$2,DD$2)</f>
        <v>#NAME?</v>
      </c>
      <c r="DE41" s="52" t="e">
        <f ca="1">_xll.BDH($CT41&amp;" EQUITY",DE$3,DE$2,DE$2)</f>
        <v>#NAME?</v>
      </c>
      <c r="DF41" s="52" t="e">
        <f ca="1">_xll.BDH($CT41&amp;" EQUITY",DF$3,DF$2,DF$2)</f>
        <v>#NAME?</v>
      </c>
      <c r="DG41" s="52" t="e">
        <f ca="1">_xll.BDH($CT41&amp;" EQUITY",DG$3,DG$2,DG$2)</f>
        <v>#NAME?</v>
      </c>
      <c r="DH41" s="52" t="e">
        <f ca="1">_xll.BDH($CT41&amp;" EQUITY",DH$3,DH$2,DH$2)</f>
        <v>#NAME?</v>
      </c>
      <c r="DI41" s="52" t="e">
        <f ca="1">_xll.BDH($CT41&amp;" EQUITY",DI$3,DI$2,DI$2)</f>
        <v>#NAME?</v>
      </c>
      <c r="DJ41" s="52" t="e">
        <f ca="1">_xll.BDH($CT41&amp;" EQUITY",DJ$3,DJ$2,DJ$2)</f>
        <v>#NAME?</v>
      </c>
    </row>
    <row r="42" spans="1:114" x14ac:dyDescent="0.25">
      <c r="A42" t="s">
        <v>1645</v>
      </c>
      <c r="D42">
        <v>214777139</v>
      </c>
      <c r="E42" t="s">
        <v>1215</v>
      </c>
      <c r="G42" t="s">
        <v>1251</v>
      </c>
      <c r="H42">
        <v>91017</v>
      </c>
      <c r="I42" t="s">
        <v>1254</v>
      </c>
      <c r="J42" t="s">
        <v>1252</v>
      </c>
      <c r="K42" t="s">
        <v>1405</v>
      </c>
      <c r="L42" t="s">
        <v>1584</v>
      </c>
      <c r="M42" t="s">
        <v>1250</v>
      </c>
      <c r="O42">
        <v>42018</v>
      </c>
      <c r="P42">
        <v>42018</v>
      </c>
      <c r="R42" t="s">
        <v>74</v>
      </c>
      <c r="S42">
        <v>-250000</v>
      </c>
      <c r="T42">
        <v>-250000</v>
      </c>
      <c r="W42">
        <v>-249937.5</v>
      </c>
      <c r="Y42">
        <v>1</v>
      </c>
      <c r="Z42" t="s">
        <v>75</v>
      </c>
      <c r="AE42" t="s">
        <v>1406</v>
      </c>
      <c r="AF42">
        <v>7.3268275379960004</v>
      </c>
      <c r="AG42">
        <v>-7.3270423270005303</v>
      </c>
      <c r="AH42">
        <v>0</v>
      </c>
      <c r="AI42">
        <v>0</v>
      </c>
      <c r="AJ42">
        <v>-1.57554945800803</v>
      </c>
      <c r="AK42">
        <v>100</v>
      </c>
      <c r="AL42" t="s">
        <v>1598</v>
      </c>
      <c r="AO42" t="s">
        <v>92</v>
      </c>
      <c r="AP42" t="s">
        <v>93</v>
      </c>
      <c r="AQ42" t="s">
        <v>1646</v>
      </c>
      <c r="AT42">
        <v>-26.041899999999998</v>
      </c>
      <c r="AU42">
        <v>750</v>
      </c>
      <c r="AX42" t="s">
        <v>76</v>
      </c>
      <c r="AY42" t="s">
        <v>1647</v>
      </c>
      <c r="BA42" t="s">
        <v>1253</v>
      </c>
      <c r="BG42">
        <v>500</v>
      </c>
      <c r="BH42">
        <v>506</v>
      </c>
      <c r="BI42" t="s">
        <v>1252</v>
      </c>
      <c r="BJ42" t="s">
        <v>1405</v>
      </c>
      <c r="BK42">
        <v>1</v>
      </c>
      <c r="CA42" t="s">
        <v>1410</v>
      </c>
      <c r="CB42" t="s">
        <v>1174</v>
      </c>
      <c r="CC42" t="s">
        <v>1174</v>
      </c>
      <c r="CD42" s="52" t="e">
        <f ca="1">_xll.BDP($AY42&amp;" "&amp;$CA42,CD$3)</f>
        <v>#NAME?</v>
      </c>
      <c r="CE42" s="52" t="e">
        <f ca="1">_xll.BDP($AY42&amp;" "&amp;$CA42,CE$3)</f>
        <v>#NAME?</v>
      </c>
      <c r="CF42" s="52" t="e">
        <f ca="1">_xll.BDP($AY42&amp;" "&amp;$CA42,CF$3)</f>
        <v>#NAME?</v>
      </c>
      <c r="CG42" s="52" t="e">
        <f ca="1">_xll.BDP($AY42&amp;" "&amp;$CA42,CG$3)</f>
        <v>#NAME?</v>
      </c>
      <c r="CH42" s="52" t="e">
        <f ca="1">_xll.BDP($AY42&amp;" "&amp;$CA42,CH$3)</f>
        <v>#NAME?</v>
      </c>
      <c r="CI42" s="52" t="e">
        <f ca="1">_xll.BDP($AY42&amp;" "&amp;$CA42,CI$3)</f>
        <v>#NAME?</v>
      </c>
      <c r="CJ42" s="52" t="e">
        <f ca="1">_xll.BDP($AY42&amp;" "&amp;$CA42,CJ$3)</f>
        <v>#NAME?</v>
      </c>
      <c r="CK42" s="52" t="e">
        <f ca="1">_xll.BDP($AY42&amp;" "&amp;$CA42,CK$3)</f>
        <v>#NAME?</v>
      </c>
      <c r="CL42" s="52" t="e">
        <f ca="1">_xll.BDP($AY42&amp;" "&amp;$CA42,CL$3)</f>
        <v>#NAME?</v>
      </c>
      <c r="CM42" s="52" t="e">
        <f ca="1">_xll.BDP($AY42&amp;" "&amp;$CA42,CM$3)</f>
        <v>#NAME?</v>
      </c>
      <c r="CN42" s="52" t="e">
        <f ca="1">_xll.BDP($AY42&amp;" "&amp;$CA42,CN$3)</f>
        <v>#NAME?</v>
      </c>
      <c r="CO42" s="52" t="e">
        <f ca="1">_xll.BDP($AY42&amp;" "&amp;$CA42,CO$3)</f>
        <v>#NAME?</v>
      </c>
      <c r="CP42" s="52" t="e">
        <f ca="1">_xll.BDP($AY42&amp;" "&amp;$CA42,CP$3)</f>
        <v>#NAME?</v>
      </c>
      <c r="CQ42" s="52" t="e">
        <f ca="1">_xll.BDP($AY42&amp;" "&amp;$CA42,CQ$3)</f>
        <v>#NAME?</v>
      </c>
      <c r="CR42" s="52" t="e">
        <f ca="1">_xll.BDP($AY42&amp;" "&amp;$CA42,CR$3)</f>
        <v>#NAME?</v>
      </c>
      <c r="CS42" s="52" t="e">
        <f ca="1">_xll.BDP($AY42&amp;" "&amp;$CA42,CS$3)</f>
        <v>#NAME?</v>
      </c>
      <c r="CT42" s="52" t="e">
        <f ca="1">_xll.BDP($AY42&amp;" "&amp;$CA42,CT$3)</f>
        <v>#NAME?</v>
      </c>
      <c r="CU42" s="52" t="e">
        <f ca="1">_xll.BDP($CT42&amp;" EQUITY",CU$3)</f>
        <v>#NAME?</v>
      </c>
      <c r="CV42" s="52" t="e">
        <f ca="1">_xll.BDP($CT42&amp;" EQUITY",CV$3)</f>
        <v>#NAME?</v>
      </c>
      <c r="CW42" s="52" t="e">
        <f ca="1">_xll.BDP($CT42&amp;" EQUITY",CW$3)</f>
        <v>#NAME?</v>
      </c>
      <c r="CX42" s="52" t="e">
        <f ca="1">_xll.BDP($CT42&amp;" EQUITY",CX$3)</f>
        <v>#NAME?</v>
      </c>
      <c r="CY42" s="52" t="e">
        <f ca="1">_xll.BDH($CT42&amp;" EQUITY",CY$3,CY$2,CY$2)</f>
        <v>#NAME?</v>
      </c>
      <c r="CZ42" s="52" t="e">
        <f ca="1">_xll.BDH($CT42&amp;" EQUITY",CZ$3,CZ$2,CZ$2)</f>
        <v>#NAME?</v>
      </c>
      <c r="DA42" s="52" t="e">
        <f ca="1">_xll.BDH($CT42&amp;" EQUITY",DA$3,DA$2,DA$2)</f>
        <v>#NAME?</v>
      </c>
      <c r="DB42" s="52" t="e">
        <f ca="1">_xll.BDH($CT42&amp;" EQUITY",DB$3,DB$2,DB$2)</f>
        <v>#NAME?</v>
      </c>
      <c r="DC42" s="52" t="e">
        <f ca="1">_xll.BDH($CT42&amp;" EQUITY",DC$3,DC$2,DC$2)</f>
        <v>#NAME?</v>
      </c>
      <c r="DD42" s="52" t="e">
        <f ca="1">_xll.BDH($CT42&amp;" EQUITY",DD$3,DD$2,DD$2)</f>
        <v>#NAME?</v>
      </c>
      <c r="DE42" s="52" t="e">
        <f ca="1">_xll.BDH($CT42&amp;" EQUITY",DE$3,DE$2,DE$2)</f>
        <v>#NAME?</v>
      </c>
      <c r="DF42" s="52" t="e">
        <f ca="1">_xll.BDH($CT42&amp;" EQUITY",DF$3,DF$2,DF$2)</f>
        <v>#NAME?</v>
      </c>
      <c r="DG42" s="52" t="e">
        <f ca="1">_xll.BDH($CT42&amp;" EQUITY",DG$3,DG$2,DG$2)</f>
        <v>#NAME?</v>
      </c>
      <c r="DH42" s="52" t="e">
        <f ca="1">_xll.BDH($CT42&amp;" EQUITY",DH$3,DH$2,DH$2)</f>
        <v>#NAME?</v>
      </c>
      <c r="DI42" s="52" t="e">
        <f ca="1">_xll.BDH($CT42&amp;" EQUITY",DI$3,DI$2,DI$2)</f>
        <v>#NAME?</v>
      </c>
      <c r="DJ42" s="52" t="e">
        <f ca="1">_xll.BDH($CT42&amp;" EQUITY",DJ$3,DJ$2,DJ$2)</f>
        <v>#NAME?</v>
      </c>
    </row>
    <row r="43" spans="1:114" x14ac:dyDescent="0.25">
      <c r="A43" t="s">
        <v>1648</v>
      </c>
      <c r="D43">
        <v>214777140</v>
      </c>
      <c r="E43" t="s">
        <v>1215</v>
      </c>
      <c r="G43" t="s">
        <v>1251</v>
      </c>
      <c r="H43">
        <v>91017</v>
      </c>
      <c r="I43" t="s">
        <v>1254</v>
      </c>
      <c r="J43" t="s">
        <v>1252</v>
      </c>
      <c r="K43" t="s">
        <v>1405</v>
      </c>
      <c r="L43" t="s">
        <v>1584</v>
      </c>
      <c r="M43" t="s">
        <v>1250</v>
      </c>
      <c r="O43">
        <v>42018</v>
      </c>
      <c r="P43">
        <v>42018</v>
      </c>
      <c r="R43" t="s">
        <v>74</v>
      </c>
      <c r="S43">
        <v>-755000</v>
      </c>
      <c r="T43">
        <v>-755000</v>
      </c>
      <c r="W43">
        <v>-754901.85</v>
      </c>
      <c r="Y43">
        <v>1</v>
      </c>
      <c r="Z43" t="s">
        <v>75</v>
      </c>
      <c r="AE43" t="s">
        <v>1406</v>
      </c>
      <c r="AF43">
        <v>22.129675069940301</v>
      </c>
      <c r="AG43">
        <v>-22.130323813063999</v>
      </c>
      <c r="AH43">
        <v>0</v>
      </c>
      <c r="AI43">
        <v>0</v>
      </c>
      <c r="AJ43">
        <v>-4.8074008220573896</v>
      </c>
      <c r="AK43">
        <v>100</v>
      </c>
      <c r="AL43" t="s">
        <v>1649</v>
      </c>
      <c r="AO43" t="s">
        <v>92</v>
      </c>
      <c r="AP43" t="s">
        <v>93</v>
      </c>
      <c r="AQ43" t="s">
        <v>1650</v>
      </c>
      <c r="AT43">
        <v>-78.656099999999995</v>
      </c>
      <c r="AU43">
        <v>2265</v>
      </c>
      <c r="AX43" t="s">
        <v>76</v>
      </c>
      <c r="AY43" t="s">
        <v>1651</v>
      </c>
      <c r="BA43" t="s">
        <v>1253</v>
      </c>
      <c r="BG43">
        <v>500</v>
      </c>
      <c r="BH43">
        <v>506</v>
      </c>
      <c r="BI43" t="s">
        <v>1252</v>
      </c>
      <c r="BJ43" t="s">
        <v>1405</v>
      </c>
      <c r="BK43">
        <v>1</v>
      </c>
      <c r="CA43" t="s">
        <v>1410</v>
      </c>
      <c r="CB43" t="s">
        <v>1174</v>
      </c>
      <c r="CC43" t="s">
        <v>1174</v>
      </c>
      <c r="CD43" s="52" t="e">
        <f ca="1">_xll.BDP($AY43&amp;" "&amp;$CA43,CD$3)</f>
        <v>#NAME?</v>
      </c>
      <c r="CE43" s="52" t="e">
        <f ca="1">_xll.BDP($AY43&amp;" "&amp;$CA43,CE$3)</f>
        <v>#NAME?</v>
      </c>
      <c r="CF43" s="52" t="e">
        <f ca="1">_xll.BDP($AY43&amp;" "&amp;$CA43,CF$3)</f>
        <v>#NAME?</v>
      </c>
      <c r="CG43" s="52" t="e">
        <f ca="1">_xll.BDP($AY43&amp;" "&amp;$CA43,CG$3)</f>
        <v>#NAME?</v>
      </c>
      <c r="CH43" s="52" t="e">
        <f ca="1">_xll.BDP($AY43&amp;" "&amp;$CA43,CH$3)</f>
        <v>#NAME?</v>
      </c>
      <c r="CI43" s="52" t="e">
        <f ca="1">_xll.BDP($AY43&amp;" "&amp;$CA43,CI$3)</f>
        <v>#NAME?</v>
      </c>
      <c r="CJ43" s="52" t="e">
        <f ca="1">_xll.BDP($AY43&amp;" "&amp;$CA43,CJ$3)</f>
        <v>#NAME?</v>
      </c>
      <c r="CK43" s="52" t="e">
        <f ca="1">_xll.BDP($AY43&amp;" "&amp;$CA43,CK$3)</f>
        <v>#NAME?</v>
      </c>
      <c r="CL43" s="52" t="e">
        <f ca="1">_xll.BDP($AY43&amp;" "&amp;$CA43,CL$3)</f>
        <v>#NAME?</v>
      </c>
      <c r="CM43" s="52" t="e">
        <f ca="1">_xll.BDP($AY43&amp;" "&amp;$CA43,CM$3)</f>
        <v>#NAME?</v>
      </c>
      <c r="CN43" s="52" t="e">
        <f ca="1">_xll.BDP($AY43&amp;" "&amp;$CA43,CN$3)</f>
        <v>#NAME?</v>
      </c>
      <c r="CO43" s="52" t="e">
        <f ca="1">_xll.BDP($AY43&amp;" "&amp;$CA43,CO$3)</f>
        <v>#NAME?</v>
      </c>
      <c r="CP43" s="52" t="e">
        <f ca="1">_xll.BDP($AY43&amp;" "&amp;$CA43,CP$3)</f>
        <v>#NAME?</v>
      </c>
      <c r="CQ43" s="52" t="e">
        <f ca="1">_xll.BDP($AY43&amp;" "&amp;$CA43,CQ$3)</f>
        <v>#NAME?</v>
      </c>
      <c r="CR43" s="52" t="e">
        <f ca="1">_xll.BDP($AY43&amp;" "&amp;$CA43,CR$3)</f>
        <v>#NAME?</v>
      </c>
      <c r="CS43" s="52" t="e">
        <f ca="1">_xll.BDP($AY43&amp;" "&amp;$CA43,CS$3)</f>
        <v>#NAME?</v>
      </c>
      <c r="CT43" s="52" t="e">
        <f ca="1">_xll.BDP($AY43&amp;" "&amp;$CA43,CT$3)</f>
        <v>#NAME?</v>
      </c>
      <c r="CU43" s="52" t="e">
        <f ca="1">_xll.BDP($CT43&amp;" EQUITY",CU$3)</f>
        <v>#NAME?</v>
      </c>
      <c r="CV43" s="52" t="e">
        <f ca="1">_xll.BDP($CT43&amp;" EQUITY",CV$3)</f>
        <v>#NAME?</v>
      </c>
      <c r="CW43" s="52" t="e">
        <f ca="1">_xll.BDP($CT43&amp;" EQUITY",CW$3)</f>
        <v>#NAME?</v>
      </c>
      <c r="CX43" s="52" t="e">
        <f ca="1">_xll.BDP($CT43&amp;" EQUITY",CX$3)</f>
        <v>#NAME?</v>
      </c>
      <c r="CY43" s="52" t="e">
        <f ca="1">_xll.BDH($CT43&amp;" EQUITY",CY$3,CY$2,CY$2)</f>
        <v>#NAME?</v>
      </c>
      <c r="CZ43" s="52" t="e">
        <f ca="1">_xll.BDH($CT43&amp;" EQUITY",CZ$3,CZ$2,CZ$2)</f>
        <v>#NAME?</v>
      </c>
      <c r="DA43" s="52" t="e">
        <f ca="1">_xll.BDH($CT43&amp;" EQUITY",DA$3,DA$2,DA$2)</f>
        <v>#NAME?</v>
      </c>
      <c r="DB43" s="52" t="e">
        <f ca="1">_xll.BDH($CT43&amp;" EQUITY",DB$3,DB$2,DB$2)</f>
        <v>#NAME?</v>
      </c>
      <c r="DC43" s="52" t="e">
        <f ca="1">_xll.BDH($CT43&amp;" EQUITY",DC$3,DC$2,DC$2)</f>
        <v>#NAME?</v>
      </c>
      <c r="DD43" s="52" t="e">
        <f ca="1">_xll.BDH($CT43&amp;" EQUITY",DD$3,DD$2,DD$2)</f>
        <v>#NAME?</v>
      </c>
      <c r="DE43" s="52" t="e">
        <f ca="1">_xll.BDH($CT43&amp;" EQUITY",DE$3,DE$2,DE$2)</f>
        <v>#NAME?</v>
      </c>
      <c r="DF43" s="52" t="e">
        <f ca="1">_xll.BDH($CT43&amp;" EQUITY",DF$3,DF$2,DF$2)</f>
        <v>#NAME?</v>
      </c>
      <c r="DG43" s="52" t="e">
        <f ca="1">_xll.BDH($CT43&amp;" EQUITY",DG$3,DG$2,DG$2)</f>
        <v>#NAME?</v>
      </c>
      <c r="DH43" s="52" t="e">
        <f ca="1">_xll.BDH($CT43&amp;" EQUITY",DH$3,DH$2,DH$2)</f>
        <v>#NAME?</v>
      </c>
      <c r="DI43" s="52" t="e">
        <f ca="1">_xll.BDH($CT43&amp;" EQUITY",DI$3,DI$2,DI$2)</f>
        <v>#NAME?</v>
      </c>
      <c r="DJ43" s="52" t="e">
        <f ca="1">_xll.BDH($CT43&amp;" EQUITY",DJ$3,DJ$2,DJ$2)</f>
        <v>#NAME?</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U43"/>
  <sheetViews>
    <sheetView workbookViewId="0"/>
  </sheetViews>
  <sheetFormatPr defaultRowHeight="15" x14ac:dyDescent="0.25"/>
  <cols>
    <col min="1" max="1" width="39.5703125" style="52" bestFit="1" customWidth="1"/>
    <col min="2" max="2" width="8.85546875" style="52" bestFit="1" customWidth="1"/>
    <col min="3" max="3" width="10.140625" style="52" bestFit="1" customWidth="1"/>
    <col min="4" max="4" width="10.28515625" style="52" bestFit="1" customWidth="1"/>
    <col min="5" max="5" width="8.7109375" style="52" bestFit="1" customWidth="1"/>
    <col min="6" max="6" width="7" style="52" bestFit="1" customWidth="1"/>
    <col min="7" max="7" width="13.42578125" style="52" bestFit="1" customWidth="1"/>
    <col min="8" max="8" width="6" style="52" bestFit="1" customWidth="1"/>
    <col min="9" max="9" width="10.140625" style="52" bestFit="1" customWidth="1"/>
    <col min="10" max="10" width="31.28515625" style="52" bestFit="1" customWidth="1"/>
    <col min="11" max="11" width="32" style="52" bestFit="1" customWidth="1"/>
    <col min="12" max="12" width="23.5703125" style="52" bestFit="1" customWidth="1"/>
    <col min="13" max="13" width="9.7109375" style="52" bestFit="1" customWidth="1"/>
    <col min="14" max="14" width="13.140625" style="52" bestFit="1" customWidth="1"/>
    <col min="15" max="15" width="12.28515625" style="4" bestFit="1" customWidth="1"/>
    <col min="16" max="16" width="10.7109375" style="4" bestFit="1" customWidth="1"/>
    <col min="17" max="17" width="12.5703125" style="4" bestFit="1" customWidth="1"/>
    <col min="18" max="18" width="8.42578125" style="52" bestFit="1" customWidth="1"/>
    <col min="19" max="19" width="11.85546875" style="89" bestFit="1" customWidth="1"/>
    <col min="20" max="20" width="12.42578125" style="89" bestFit="1" customWidth="1"/>
    <col min="21" max="21" width="8.7109375" style="52" bestFit="1" customWidth="1"/>
    <col min="22" max="22" width="12" style="52" bestFit="1" customWidth="1"/>
    <col min="23" max="23" width="10.5703125" style="89" bestFit="1" customWidth="1"/>
    <col min="24" max="24" width="11.42578125" style="52" bestFit="1" customWidth="1"/>
    <col min="25" max="25" width="9" style="52" bestFit="1" customWidth="1"/>
    <col min="26" max="26" width="9.85546875" style="52" bestFit="1" customWidth="1"/>
    <col min="27" max="27" width="8.7109375" style="52" bestFit="1" customWidth="1"/>
    <col min="28" max="28" width="9.85546875" style="52" bestFit="1" customWidth="1"/>
    <col min="29" max="29" width="8.7109375" style="52" bestFit="1" customWidth="1"/>
    <col min="30" max="30" width="11.140625" style="52" bestFit="1" customWidth="1"/>
    <col min="31" max="31" width="16" style="52" bestFit="1" customWidth="1"/>
    <col min="32" max="32" width="12" style="52" bestFit="1" customWidth="1"/>
    <col min="33" max="33" width="12.7109375" style="52" bestFit="1" customWidth="1"/>
    <col min="34" max="34" width="8.140625" style="52" bestFit="1" customWidth="1"/>
    <col min="35" max="35" width="10.85546875" style="52" bestFit="1" customWidth="1"/>
    <col min="36" max="36" width="12.7109375" style="52" bestFit="1" customWidth="1"/>
    <col min="37" max="37" width="11" style="52" bestFit="1" customWidth="1"/>
    <col min="38" max="38" width="13.7109375" style="52" bestFit="1" customWidth="1"/>
    <col min="39" max="39" width="12.7109375" style="52" bestFit="1" customWidth="1"/>
    <col min="40" max="40" width="10.85546875" style="52" bestFit="1" customWidth="1"/>
    <col min="41" max="41" width="22.140625" style="52" bestFit="1" customWidth="1"/>
    <col min="42" max="42" width="11.7109375" style="52" bestFit="1" customWidth="1"/>
    <col min="43" max="43" width="30.7109375" style="52" bestFit="1" customWidth="1"/>
    <col min="44" max="44" width="14.5703125" style="52" bestFit="1" customWidth="1"/>
    <col min="45" max="45" width="10.5703125" style="52" bestFit="1" customWidth="1"/>
    <col min="46" max="46" width="10.7109375" style="52" bestFit="1" customWidth="1"/>
    <col min="47" max="47" width="8.7109375" style="52" bestFit="1" customWidth="1"/>
    <col min="48" max="48" width="12.7109375" style="52" bestFit="1" customWidth="1"/>
    <col min="49" max="49" width="12.42578125" style="52" bestFit="1" customWidth="1"/>
    <col min="50" max="50" width="17.28515625" style="52" bestFit="1" customWidth="1"/>
    <col min="51" max="51" width="9.7109375" style="52" bestFit="1" customWidth="1"/>
    <col min="52" max="52" width="6" style="52" bestFit="1" customWidth="1"/>
    <col min="53" max="53" width="61.5703125" style="52" bestFit="1" customWidth="1"/>
    <col min="54" max="54" width="14.85546875" style="52" bestFit="1" customWidth="1"/>
    <col min="55" max="55" width="14.42578125" style="52" bestFit="1" customWidth="1"/>
    <col min="56" max="56" width="5" style="52" bestFit="1" customWidth="1"/>
    <col min="57" max="57" width="13.5703125" style="52" bestFit="1" customWidth="1"/>
    <col min="58" max="58" width="11.28515625" style="52" bestFit="1" customWidth="1"/>
    <col min="59" max="59" width="26.5703125" style="52" bestFit="1" customWidth="1"/>
    <col min="60" max="60" width="26.7109375" style="52" bestFit="1" customWidth="1"/>
    <col min="61" max="61" width="32.28515625" style="52" bestFit="1" customWidth="1"/>
    <col min="62" max="62" width="32.42578125" style="52" bestFit="1" customWidth="1"/>
    <col min="63" max="63" width="14.7109375" style="52" bestFit="1" customWidth="1"/>
    <col min="64" max="64" width="10.28515625" style="52" bestFit="1" customWidth="1"/>
    <col min="65" max="65" width="12.5703125" style="52" bestFit="1" customWidth="1"/>
    <col min="66" max="66" width="18" style="52" bestFit="1" customWidth="1"/>
    <col min="67" max="67" width="18.85546875" style="52" bestFit="1" customWidth="1"/>
    <col min="68" max="68" width="16" style="52" bestFit="1" customWidth="1"/>
    <col min="69" max="69" width="18.85546875" style="52" bestFit="1" customWidth="1"/>
    <col min="70" max="78" width="9.140625" style="52"/>
    <col min="79" max="79" width="12.5703125" style="52" bestFit="1" customWidth="1"/>
    <col min="80" max="80" width="22.5703125" style="52" bestFit="1" customWidth="1"/>
    <col min="81" max="81" width="18.5703125" style="52" bestFit="1" customWidth="1"/>
    <col min="82" max="82" width="13.42578125" style="52" bestFit="1" customWidth="1"/>
    <col min="83" max="89" width="24.42578125" style="52" bestFit="1" customWidth="1"/>
    <col min="90" max="90" width="12.28515625" style="52" bestFit="1" customWidth="1"/>
    <col min="91" max="91" width="9.5703125" style="52" bestFit="1" customWidth="1"/>
    <col min="92" max="92" width="24.85546875" style="52" bestFit="1" customWidth="1"/>
    <col min="93" max="93" width="13.5703125" style="52" bestFit="1" customWidth="1"/>
    <col min="94" max="94" width="17.28515625" style="52" bestFit="1" customWidth="1"/>
    <col min="95" max="95" width="24.42578125" style="52" bestFit="1" customWidth="1"/>
    <col min="96" max="97" width="17.7109375" style="52" bestFit="1" customWidth="1"/>
    <col min="98" max="98" width="8.5703125" style="52" bestFit="1" customWidth="1"/>
    <col min="99" max="114" width="19.85546875" style="52" bestFit="1" customWidth="1"/>
    <col min="115" max="130" width="9.140625" style="52"/>
    <col min="131" max="131" width="11" style="52" bestFit="1" customWidth="1"/>
    <col min="132" max="132" width="14.85546875" style="52" bestFit="1" customWidth="1"/>
    <col min="133" max="133" width="10.42578125" style="90" bestFit="1" customWidth="1"/>
    <col min="134" max="134" width="16.42578125" style="52" bestFit="1" customWidth="1"/>
    <col min="135" max="135" width="12.42578125" style="52" bestFit="1" customWidth="1"/>
    <col min="136" max="136" width="8.28515625" style="52" bestFit="1" customWidth="1"/>
    <col min="137" max="137" width="20.7109375" style="52" bestFit="1" customWidth="1"/>
    <col min="138" max="138" width="8.28515625" style="52" bestFit="1" customWidth="1"/>
    <col min="139" max="139" width="9.140625" style="52"/>
    <col min="140" max="140" width="8.28515625" style="52" bestFit="1" customWidth="1"/>
    <col min="141" max="141" width="15.85546875" style="52" bestFit="1" customWidth="1"/>
    <col min="142" max="142" width="8.7109375" style="52" bestFit="1" customWidth="1"/>
    <col min="143" max="143" width="26.140625" style="52" bestFit="1" customWidth="1"/>
    <col min="144" max="144" width="20.85546875" style="91" bestFit="1" customWidth="1"/>
    <col min="145" max="145" width="35.28515625" style="52" bestFit="1" customWidth="1"/>
    <col min="146" max="146" width="30.140625" style="91" bestFit="1" customWidth="1"/>
    <col min="147" max="147" width="25.85546875" style="91" bestFit="1" customWidth="1"/>
    <col min="148" max="148" width="19.7109375" style="89" bestFit="1" customWidth="1"/>
    <col min="149" max="149" width="41.85546875" style="89" bestFit="1" customWidth="1"/>
    <col min="150" max="150" width="8.85546875" style="89" bestFit="1" customWidth="1"/>
    <col min="151" max="151" width="17.85546875" style="89" bestFit="1" customWidth="1"/>
    <col min="152" max="16384" width="9.140625" style="52"/>
  </cols>
  <sheetData>
    <row r="1" spans="1:151" x14ac:dyDescent="0.25">
      <c r="CY1" s="52" t="s">
        <v>1177</v>
      </c>
      <c r="CZ1" s="52" t="s">
        <v>1178</v>
      </c>
      <c r="DA1" s="52" t="s">
        <v>1179</v>
      </c>
      <c r="DB1" s="52" t="s">
        <v>1180</v>
      </c>
      <c r="DC1" s="52" t="s">
        <v>1181</v>
      </c>
      <c r="DD1" s="52" t="s">
        <v>1182</v>
      </c>
      <c r="DE1" s="52" t="s">
        <v>1183</v>
      </c>
      <c r="DF1" s="52" t="s">
        <v>1184</v>
      </c>
      <c r="DG1" s="52" t="s">
        <v>1185</v>
      </c>
      <c r="DH1" s="52" t="s">
        <v>1186</v>
      </c>
      <c r="DI1" s="52" t="s">
        <v>1187</v>
      </c>
      <c r="DJ1" s="52" t="s">
        <v>1188</v>
      </c>
    </row>
    <row r="2" spans="1:151" x14ac:dyDescent="0.25">
      <c r="CY2" s="4">
        <v>41912</v>
      </c>
      <c r="CZ2" s="4">
        <v>41880</v>
      </c>
      <c r="DA2" s="4">
        <v>41851</v>
      </c>
      <c r="DB2" s="4">
        <v>41820</v>
      </c>
      <c r="DC2" s="4">
        <v>41789</v>
      </c>
      <c r="DD2" s="4">
        <v>41759</v>
      </c>
      <c r="DE2" s="4">
        <v>41729</v>
      </c>
      <c r="DF2" s="4">
        <v>41698</v>
      </c>
      <c r="DG2" s="4">
        <v>41670</v>
      </c>
      <c r="DH2" s="4">
        <v>41639</v>
      </c>
      <c r="DI2" s="4">
        <v>41607</v>
      </c>
      <c r="DJ2" s="4">
        <v>41578</v>
      </c>
    </row>
    <row r="3" spans="1:151" x14ac:dyDescent="0.25">
      <c r="A3" s="52" t="s">
        <v>4</v>
      </c>
      <c r="B3" s="52" t="s">
        <v>5</v>
      </c>
      <c r="C3" s="52" t="s">
        <v>6</v>
      </c>
      <c r="D3" s="52" t="s">
        <v>7</v>
      </c>
      <c r="E3" s="52" t="s">
        <v>8</v>
      </c>
      <c r="F3" s="52" t="s">
        <v>9</v>
      </c>
      <c r="G3" s="52" t="s">
        <v>10</v>
      </c>
      <c r="H3" s="52" t="s">
        <v>11</v>
      </c>
      <c r="I3" s="52" t="s">
        <v>12</v>
      </c>
      <c r="J3" s="52" t="s">
        <v>13</v>
      </c>
      <c r="K3" s="52" t="s">
        <v>14</v>
      </c>
      <c r="L3" s="52" t="s">
        <v>15</v>
      </c>
      <c r="M3" s="52" t="s">
        <v>16</v>
      </c>
      <c r="N3" s="52" t="s">
        <v>17</v>
      </c>
      <c r="O3" s="4" t="s">
        <v>18</v>
      </c>
      <c r="P3" s="4" t="s">
        <v>19</v>
      </c>
      <c r="Q3" s="4" t="s">
        <v>20</v>
      </c>
      <c r="R3" s="52" t="s">
        <v>21</v>
      </c>
      <c r="S3" s="89" t="s">
        <v>22</v>
      </c>
      <c r="T3" s="89" t="s">
        <v>23</v>
      </c>
      <c r="U3" s="52" t="s">
        <v>24</v>
      </c>
      <c r="V3" s="52" t="s">
        <v>25</v>
      </c>
      <c r="W3" s="89" t="s">
        <v>26</v>
      </c>
      <c r="X3" s="52" t="s">
        <v>27</v>
      </c>
      <c r="Y3" s="52" t="s">
        <v>28</v>
      </c>
      <c r="Z3" s="52" t="s">
        <v>29</v>
      </c>
      <c r="AA3" s="52" t="s">
        <v>30</v>
      </c>
      <c r="AB3" s="52" t="s">
        <v>31</v>
      </c>
      <c r="AC3" s="52" t="s">
        <v>32</v>
      </c>
      <c r="AD3" s="52" t="s">
        <v>33</v>
      </c>
      <c r="AE3" s="52" t="s">
        <v>34</v>
      </c>
      <c r="AF3" s="52" t="s">
        <v>35</v>
      </c>
      <c r="AG3" s="52" t="s">
        <v>36</v>
      </c>
      <c r="AH3" s="52" t="s">
        <v>37</v>
      </c>
      <c r="AI3" s="52" t="s">
        <v>38</v>
      </c>
      <c r="AJ3" s="52" t="s">
        <v>39</v>
      </c>
      <c r="AK3" s="52" t="s">
        <v>40</v>
      </c>
      <c r="AL3" s="52" t="s">
        <v>41</v>
      </c>
      <c r="AM3" s="52" t="s">
        <v>42</v>
      </c>
      <c r="AN3" s="52" t="s">
        <v>43</v>
      </c>
      <c r="AO3" s="52" t="s">
        <v>44</v>
      </c>
      <c r="AP3" s="52" t="s">
        <v>45</v>
      </c>
      <c r="AQ3" s="52" t="s">
        <v>46</v>
      </c>
      <c r="AR3" s="52" t="s">
        <v>47</v>
      </c>
      <c r="AS3" s="52" t="s">
        <v>48</v>
      </c>
      <c r="AT3" s="52" t="s">
        <v>49</v>
      </c>
      <c r="AU3" s="52" t="s">
        <v>50</v>
      </c>
      <c r="AV3" s="52" t="s">
        <v>51</v>
      </c>
      <c r="AW3" s="52" t="s">
        <v>52</v>
      </c>
      <c r="AX3" s="52" t="s">
        <v>53</v>
      </c>
      <c r="AY3" s="52" t="s">
        <v>54</v>
      </c>
      <c r="AZ3" s="52" t="s">
        <v>55</v>
      </c>
      <c r="BA3" s="52" t="s">
        <v>56</v>
      </c>
      <c r="BB3" s="52" t="s">
        <v>57</v>
      </c>
      <c r="BC3" s="52" t="s">
        <v>58</v>
      </c>
      <c r="BD3" s="52" t="s">
        <v>59</v>
      </c>
      <c r="BE3" s="52" t="s">
        <v>60</v>
      </c>
      <c r="BF3" s="52" t="s">
        <v>61</v>
      </c>
      <c r="BG3" s="52" t="s">
        <v>62</v>
      </c>
      <c r="BH3" s="52" t="s">
        <v>63</v>
      </c>
      <c r="BI3" s="52" t="s">
        <v>64</v>
      </c>
      <c r="BJ3" s="52" t="s">
        <v>65</v>
      </c>
      <c r="BK3" s="52" t="s">
        <v>66</v>
      </c>
      <c r="BL3" s="52" t="s">
        <v>67</v>
      </c>
      <c r="BM3" s="52" t="s">
        <v>68</v>
      </c>
      <c r="BN3" s="52" t="s">
        <v>69</v>
      </c>
      <c r="BO3" s="52" t="s">
        <v>70</v>
      </c>
      <c r="BP3" s="52" t="s">
        <v>71</v>
      </c>
      <c r="BQ3" s="52" t="s">
        <v>72</v>
      </c>
      <c r="CA3" s="52" t="s">
        <v>1153</v>
      </c>
      <c r="CB3" s="52" t="s">
        <v>1175</v>
      </c>
      <c r="CC3" s="52" t="s">
        <v>1176</v>
      </c>
      <c r="CD3" s="52" t="s">
        <v>1154</v>
      </c>
      <c r="CE3" s="52" t="s">
        <v>1155</v>
      </c>
      <c r="CF3" s="52" t="s">
        <v>1156</v>
      </c>
      <c r="CG3" s="52" t="s">
        <v>1189</v>
      </c>
      <c r="CH3" s="52" t="s">
        <v>1157</v>
      </c>
      <c r="CI3" s="52" t="s">
        <v>1158</v>
      </c>
      <c r="CJ3" s="52" t="s">
        <v>1159</v>
      </c>
      <c r="CK3" s="52" t="s">
        <v>1160</v>
      </c>
      <c r="CL3" s="52" t="s">
        <v>1161</v>
      </c>
      <c r="CM3" s="52" t="s">
        <v>1162</v>
      </c>
      <c r="CN3" s="52" t="s">
        <v>1163</v>
      </c>
      <c r="CO3" s="52" t="s">
        <v>1164</v>
      </c>
      <c r="CP3" s="52" t="s">
        <v>1165</v>
      </c>
      <c r="CQ3" s="52" t="s">
        <v>1166</v>
      </c>
      <c r="CR3" s="52" t="s">
        <v>1167</v>
      </c>
      <c r="CS3" s="52" t="s">
        <v>1168</v>
      </c>
      <c r="CT3" s="52" t="s">
        <v>1169</v>
      </c>
      <c r="CU3" s="52" t="s">
        <v>1170</v>
      </c>
      <c r="CV3" s="52" t="s">
        <v>1171</v>
      </c>
      <c r="CW3" s="52" t="s">
        <v>1202</v>
      </c>
      <c r="CX3" s="52" t="s">
        <v>1172</v>
      </c>
      <c r="CY3" s="52" t="s">
        <v>1173</v>
      </c>
      <c r="CZ3" s="52" t="s">
        <v>1173</v>
      </c>
      <c r="DA3" s="52" t="s">
        <v>1173</v>
      </c>
      <c r="DB3" s="52" t="s">
        <v>1173</v>
      </c>
      <c r="DC3" s="52" t="s">
        <v>1173</v>
      </c>
      <c r="DD3" s="52" t="s">
        <v>1173</v>
      </c>
      <c r="DE3" s="52" t="s">
        <v>1173</v>
      </c>
      <c r="DF3" s="52" t="s">
        <v>1173</v>
      </c>
      <c r="DG3" s="52" t="s">
        <v>1173</v>
      </c>
      <c r="DH3" s="52" t="s">
        <v>1173</v>
      </c>
      <c r="DI3" s="52" t="s">
        <v>1173</v>
      </c>
      <c r="DJ3" s="52" t="s">
        <v>1173</v>
      </c>
      <c r="EA3" s="52" t="s">
        <v>1433</v>
      </c>
      <c r="EB3" s="52" t="s">
        <v>1434</v>
      </c>
      <c r="EC3" s="90" t="s">
        <v>1435</v>
      </c>
      <c r="ED3" s="52" t="s">
        <v>1436</v>
      </c>
      <c r="EE3" s="52" t="s">
        <v>1437</v>
      </c>
      <c r="EF3" s="52" t="s">
        <v>1438</v>
      </c>
      <c r="EG3" s="52" t="s">
        <v>190</v>
      </c>
      <c r="EH3" s="52" t="s">
        <v>1439</v>
      </c>
      <c r="EJ3" s="52" t="s">
        <v>1440</v>
      </c>
      <c r="EK3" s="52" t="s">
        <v>192</v>
      </c>
      <c r="EL3" s="52" t="s">
        <v>1441</v>
      </c>
      <c r="EM3" s="52" t="s">
        <v>1442</v>
      </c>
      <c r="EN3" s="91" t="s">
        <v>1443</v>
      </c>
      <c r="EO3" s="52" t="s">
        <v>1444</v>
      </c>
      <c r="EP3" s="91" t="s">
        <v>1445</v>
      </c>
      <c r="EQ3" s="91" t="s">
        <v>1446</v>
      </c>
      <c r="ER3" s="89" t="s">
        <v>1447</v>
      </c>
      <c r="ES3" s="89" t="s">
        <v>1448</v>
      </c>
      <c r="ET3" s="89" t="s">
        <v>1449</v>
      </c>
      <c r="EU3" s="89" t="s">
        <v>1450</v>
      </c>
    </row>
    <row r="4" spans="1:151" x14ac:dyDescent="0.25">
      <c r="A4" s="52" t="s">
        <v>1484</v>
      </c>
      <c r="D4" s="52">
        <v>214777102</v>
      </c>
      <c r="E4" s="52" t="s">
        <v>1215</v>
      </c>
      <c r="G4" s="52" t="s">
        <v>1251</v>
      </c>
      <c r="H4" s="52">
        <v>91017</v>
      </c>
      <c r="I4" s="52" t="s">
        <v>1254</v>
      </c>
      <c r="J4" s="52" t="s">
        <v>1252</v>
      </c>
      <c r="K4" s="52" t="s">
        <v>1404</v>
      </c>
      <c r="L4" s="52" t="s">
        <v>1463</v>
      </c>
      <c r="M4" s="52" t="s">
        <v>1250</v>
      </c>
      <c r="O4" s="4">
        <v>42835</v>
      </c>
      <c r="P4" s="4">
        <v>42835</v>
      </c>
      <c r="R4" s="52" t="s">
        <v>74</v>
      </c>
      <c r="S4" s="89">
        <v>-25000</v>
      </c>
      <c r="T4" s="89">
        <v>-25000</v>
      </c>
      <c r="W4" s="89">
        <v>-24901.25</v>
      </c>
      <c r="Y4" s="52">
        <v>1</v>
      </c>
      <c r="Z4" s="52" t="s">
        <v>75</v>
      </c>
      <c r="AE4" s="52" t="s">
        <v>165</v>
      </c>
      <c r="AF4" s="52">
        <v>6.2480992271011901</v>
      </c>
      <c r="AG4" s="52">
        <v>-6.2496741161994596</v>
      </c>
      <c r="AH4" s="52">
        <v>0</v>
      </c>
      <c r="AI4" s="52">
        <v>0</v>
      </c>
      <c r="AJ4" s="52">
        <v>-0.159155209399614</v>
      </c>
      <c r="AK4" s="52">
        <v>100</v>
      </c>
      <c r="AL4" s="52" t="s">
        <v>1485</v>
      </c>
      <c r="AO4" s="52" t="s">
        <v>92</v>
      </c>
      <c r="AP4" s="52" t="s">
        <v>93</v>
      </c>
      <c r="AQ4" s="52" t="s">
        <v>1486</v>
      </c>
      <c r="AT4" s="52">
        <v>-61.178600000000003</v>
      </c>
      <c r="AU4" s="52">
        <v>75</v>
      </c>
      <c r="AX4" s="52" t="s">
        <v>76</v>
      </c>
      <c r="AY4" s="52" t="s">
        <v>1487</v>
      </c>
      <c r="BA4" s="52" t="s">
        <v>1253</v>
      </c>
      <c r="BG4" s="52">
        <v>500</v>
      </c>
      <c r="BH4" s="52">
        <v>505</v>
      </c>
      <c r="BI4" s="52" t="s">
        <v>1252</v>
      </c>
      <c r="BJ4" s="52" t="s">
        <v>1404</v>
      </c>
      <c r="BK4" s="52">
        <v>1</v>
      </c>
      <c r="CA4" s="52" t="s">
        <v>1410</v>
      </c>
      <c r="CB4" s="52" t="s">
        <v>1174</v>
      </c>
      <c r="CC4" s="52" t="s">
        <v>1174</v>
      </c>
      <c r="CD4" s="52" t="s">
        <v>1428</v>
      </c>
      <c r="CE4" s="52" t="s">
        <v>1429</v>
      </c>
      <c r="CF4" s="52" t="s">
        <v>1429</v>
      </c>
      <c r="CG4" s="52" t="s">
        <v>1429</v>
      </c>
      <c r="CH4" s="52" t="s">
        <v>1429</v>
      </c>
      <c r="CI4" s="52" t="s">
        <v>1429</v>
      </c>
      <c r="CJ4" s="52" t="s">
        <v>1429</v>
      </c>
      <c r="CK4" s="52" t="s">
        <v>1429</v>
      </c>
      <c r="CL4" s="52" t="s">
        <v>1430</v>
      </c>
      <c r="CM4" s="52" t="s">
        <v>1430</v>
      </c>
      <c r="CN4" s="52" t="s">
        <v>1429</v>
      </c>
      <c r="CO4" s="52" t="s">
        <v>833</v>
      </c>
      <c r="CP4" s="52" t="s">
        <v>1431</v>
      </c>
      <c r="CQ4" s="52" t="s">
        <v>1429</v>
      </c>
      <c r="CR4" s="52" t="s">
        <v>1432</v>
      </c>
      <c r="CS4" s="52" t="s">
        <v>1213</v>
      </c>
      <c r="CT4" s="52" t="s">
        <v>1479</v>
      </c>
      <c r="CU4" s="52" t="s">
        <v>1200</v>
      </c>
      <c r="CV4" s="52" t="s">
        <v>1200</v>
      </c>
      <c r="CW4" s="52" t="s">
        <v>1200</v>
      </c>
      <c r="CX4" s="52" t="s">
        <v>1200</v>
      </c>
      <c r="CY4" s="52" t="s">
        <v>1200</v>
      </c>
      <c r="CZ4" s="52" t="s">
        <v>1200</v>
      </c>
      <c r="DA4" s="52" t="s">
        <v>1200</v>
      </c>
      <c r="DB4" s="52" t="s">
        <v>1200</v>
      </c>
      <c r="DC4" s="52" t="s">
        <v>1200</v>
      </c>
      <c r="DD4" s="52" t="s">
        <v>1200</v>
      </c>
      <c r="DE4" s="52" t="s">
        <v>1200</v>
      </c>
      <c r="DF4" s="52" t="s">
        <v>1200</v>
      </c>
      <c r="DG4" s="52" t="s">
        <v>1200</v>
      </c>
      <c r="DH4" s="52" t="s">
        <v>1200</v>
      </c>
      <c r="DI4" s="52" t="s">
        <v>1200</v>
      </c>
      <c r="DJ4" s="52" t="s">
        <v>1200</v>
      </c>
      <c r="EA4" s="52" t="s">
        <v>1206</v>
      </c>
      <c r="EB4" s="52" t="s">
        <v>1451</v>
      </c>
      <c r="EC4" s="90" t="s">
        <v>1414</v>
      </c>
      <c r="EK4" s="52">
        <v>923</v>
      </c>
      <c r="EL4" s="52" t="s">
        <v>204</v>
      </c>
      <c r="EM4" s="52" t="s">
        <v>1418</v>
      </c>
      <c r="EN4" s="91">
        <v>1.6E-2</v>
      </c>
      <c r="EQ4" s="91">
        <v>1.6E-2</v>
      </c>
      <c r="ER4" s="89">
        <v>24901.25</v>
      </c>
      <c r="ES4" s="89">
        <v>398.42</v>
      </c>
      <c r="ET4" s="89">
        <v>98.75</v>
      </c>
      <c r="EU4" s="89">
        <v>98.75</v>
      </c>
    </row>
    <row r="5" spans="1:151" x14ac:dyDescent="0.25">
      <c r="A5" s="52" t="s">
        <v>1488</v>
      </c>
      <c r="D5" s="52">
        <v>214777103</v>
      </c>
      <c r="E5" s="52" t="s">
        <v>1215</v>
      </c>
      <c r="G5" s="52" t="s">
        <v>1251</v>
      </c>
      <c r="H5" s="52">
        <v>91017</v>
      </c>
      <c r="I5" s="52" t="s">
        <v>1254</v>
      </c>
      <c r="J5" s="52" t="s">
        <v>1252</v>
      </c>
      <c r="K5" s="52" t="s">
        <v>1404</v>
      </c>
      <c r="L5" s="52" t="s">
        <v>1463</v>
      </c>
      <c r="M5" s="52" t="s">
        <v>1250</v>
      </c>
      <c r="O5" s="4">
        <v>42471</v>
      </c>
      <c r="P5" s="4">
        <v>42471</v>
      </c>
      <c r="R5" s="52" t="s">
        <v>74</v>
      </c>
      <c r="S5" s="89">
        <v>-24000</v>
      </c>
      <c r="T5" s="89">
        <v>-24000</v>
      </c>
      <c r="W5" s="89">
        <v>-23941.919999999998</v>
      </c>
      <c r="Y5" s="52">
        <v>1</v>
      </c>
      <c r="Z5" s="52" t="s">
        <v>75</v>
      </c>
      <c r="AE5" s="52" t="s">
        <v>165</v>
      </c>
      <c r="AF5" s="52">
        <v>3.66457132039795</v>
      </c>
      <c r="AG5" s="52">
        <v>-3.6651327261024602</v>
      </c>
      <c r="AH5" s="52">
        <v>0</v>
      </c>
      <c r="AI5" s="52">
        <v>0</v>
      </c>
      <c r="AJ5" s="52">
        <v>-0.21398801450050101</v>
      </c>
      <c r="AK5" s="52">
        <v>100</v>
      </c>
      <c r="AL5" s="52" t="s">
        <v>1470</v>
      </c>
      <c r="AO5" s="52" t="s">
        <v>92</v>
      </c>
      <c r="AP5" s="52" t="s">
        <v>93</v>
      </c>
      <c r="AQ5" s="52" t="s">
        <v>1489</v>
      </c>
      <c r="AT5" s="52">
        <v>-19.212</v>
      </c>
      <c r="AU5" s="52">
        <v>72</v>
      </c>
      <c r="AX5" s="52" t="s">
        <v>76</v>
      </c>
      <c r="AY5" s="52" t="s">
        <v>1490</v>
      </c>
      <c r="BA5" s="52" t="s">
        <v>1253</v>
      </c>
      <c r="BG5" s="52">
        <v>500</v>
      </c>
      <c r="BH5" s="52">
        <v>505</v>
      </c>
      <c r="BI5" s="52" t="s">
        <v>1252</v>
      </c>
      <c r="BJ5" s="52" t="s">
        <v>1404</v>
      </c>
      <c r="BK5" s="52">
        <v>1</v>
      </c>
      <c r="CA5" s="52" t="s">
        <v>1410</v>
      </c>
      <c r="CB5" s="52" t="s">
        <v>1174</v>
      </c>
      <c r="CC5" s="52" t="s">
        <v>1174</v>
      </c>
      <c r="CD5" s="52" t="s">
        <v>1428</v>
      </c>
      <c r="CE5" s="52" t="s">
        <v>1429</v>
      </c>
      <c r="CF5" s="52" t="s">
        <v>1429</v>
      </c>
      <c r="CG5" s="52" t="s">
        <v>1429</v>
      </c>
      <c r="CH5" s="52" t="s">
        <v>1429</v>
      </c>
      <c r="CI5" s="52" t="s">
        <v>1429</v>
      </c>
      <c r="CJ5" s="52" t="s">
        <v>1429</v>
      </c>
      <c r="CK5" s="52" t="s">
        <v>1429</v>
      </c>
      <c r="CL5" s="52" t="s">
        <v>1430</v>
      </c>
      <c r="CM5" s="52" t="s">
        <v>1430</v>
      </c>
      <c r="CN5" s="52" t="s">
        <v>1429</v>
      </c>
      <c r="CO5" s="52" t="s">
        <v>833</v>
      </c>
      <c r="CP5" s="52" t="s">
        <v>1431</v>
      </c>
      <c r="CQ5" s="52" t="s">
        <v>1429</v>
      </c>
      <c r="CR5" s="52" t="s">
        <v>1432</v>
      </c>
      <c r="CS5" s="52" t="s">
        <v>1213</v>
      </c>
      <c r="CT5" s="52" t="s">
        <v>1479</v>
      </c>
      <c r="CU5" s="52" t="s">
        <v>1200</v>
      </c>
      <c r="CV5" s="52" t="s">
        <v>1200</v>
      </c>
      <c r="CW5" s="52" t="s">
        <v>1200</v>
      </c>
      <c r="CX5" s="52" t="s">
        <v>1200</v>
      </c>
      <c r="CY5" s="52" t="s">
        <v>1200</v>
      </c>
      <c r="CZ5" s="52" t="s">
        <v>1200</v>
      </c>
      <c r="DA5" s="52" t="s">
        <v>1200</v>
      </c>
      <c r="DB5" s="52" t="s">
        <v>1200</v>
      </c>
      <c r="DC5" s="52" t="s">
        <v>1200</v>
      </c>
      <c r="DD5" s="52" t="s">
        <v>1200</v>
      </c>
      <c r="DE5" s="52" t="s">
        <v>1200</v>
      </c>
      <c r="DF5" s="52" t="s">
        <v>1200</v>
      </c>
      <c r="DG5" s="52" t="s">
        <v>1200</v>
      </c>
      <c r="DH5" s="52" t="s">
        <v>1200</v>
      </c>
      <c r="DI5" s="52" t="s">
        <v>1200</v>
      </c>
      <c r="DJ5" s="52" t="s">
        <v>1200</v>
      </c>
      <c r="EA5" s="52" t="s">
        <v>1206</v>
      </c>
      <c r="EB5" s="52" t="s">
        <v>1451</v>
      </c>
      <c r="EC5" s="90" t="s">
        <v>1414</v>
      </c>
      <c r="EK5" s="52">
        <v>559</v>
      </c>
      <c r="EL5" s="52" t="s">
        <v>201</v>
      </c>
      <c r="EM5" s="52" t="s">
        <v>1417</v>
      </c>
      <c r="EN5" s="91">
        <v>0.01</v>
      </c>
      <c r="EQ5" s="91">
        <v>0.01</v>
      </c>
      <c r="ER5" s="89">
        <v>23941.919999999998</v>
      </c>
      <c r="ES5" s="89">
        <v>239.41919999999999</v>
      </c>
      <c r="ET5" s="89">
        <v>58.080000000001746</v>
      </c>
      <c r="EU5" s="89">
        <v>58.080000000001746</v>
      </c>
    </row>
    <row r="6" spans="1:151" x14ac:dyDescent="0.25">
      <c r="A6" s="52" t="s">
        <v>1491</v>
      </c>
      <c r="D6" s="52">
        <v>214777104</v>
      </c>
      <c r="E6" s="52" t="s">
        <v>1215</v>
      </c>
      <c r="G6" s="52" t="s">
        <v>1251</v>
      </c>
      <c r="H6" s="52">
        <v>91017</v>
      </c>
      <c r="I6" s="52" t="s">
        <v>1254</v>
      </c>
      <c r="J6" s="52" t="s">
        <v>1252</v>
      </c>
      <c r="K6" s="52" t="s">
        <v>1404</v>
      </c>
      <c r="L6" s="52" t="s">
        <v>1492</v>
      </c>
      <c r="M6" s="52" t="s">
        <v>1250</v>
      </c>
      <c r="O6" s="4">
        <v>43018</v>
      </c>
      <c r="P6" s="4">
        <v>43018</v>
      </c>
      <c r="R6" s="52" t="s">
        <v>74</v>
      </c>
      <c r="S6" s="89">
        <v>-60000</v>
      </c>
      <c r="T6" s="89">
        <v>-60000</v>
      </c>
      <c r="W6" s="89">
        <v>-59735.1558</v>
      </c>
      <c r="Y6" s="52">
        <v>1</v>
      </c>
      <c r="Z6" s="52" t="s">
        <v>75</v>
      </c>
      <c r="AE6" s="52" t="s">
        <v>165</v>
      </c>
      <c r="AF6" s="52">
        <v>17.853908970100701</v>
      </c>
      <c r="AG6" s="52">
        <v>-17.859289177198701</v>
      </c>
      <c r="AH6" s="52">
        <v>0</v>
      </c>
      <c r="AI6" s="52">
        <v>0</v>
      </c>
      <c r="AJ6" s="52">
        <v>-0.55418840149650395</v>
      </c>
      <c r="AK6" s="52">
        <v>100</v>
      </c>
      <c r="AL6" s="52" t="s">
        <v>1493</v>
      </c>
      <c r="AO6" s="52" t="s">
        <v>92</v>
      </c>
      <c r="AP6" s="52" t="s">
        <v>93</v>
      </c>
      <c r="AQ6" s="52" t="s">
        <v>1494</v>
      </c>
      <c r="AT6" s="52">
        <v>-205.27959999999999</v>
      </c>
      <c r="AU6" s="52">
        <v>180</v>
      </c>
      <c r="AX6" s="52" t="s">
        <v>76</v>
      </c>
      <c r="AY6" s="52" t="s">
        <v>1495</v>
      </c>
      <c r="BA6" s="52" t="s">
        <v>1253</v>
      </c>
      <c r="BG6" s="52">
        <v>500</v>
      </c>
      <c r="BH6" s="52">
        <v>505</v>
      </c>
      <c r="BI6" s="52" t="s">
        <v>1252</v>
      </c>
      <c r="BJ6" s="52" t="s">
        <v>1404</v>
      </c>
      <c r="BK6" s="52">
        <v>1</v>
      </c>
      <c r="CA6" s="52" t="s">
        <v>1410</v>
      </c>
      <c r="CB6" s="52" t="s">
        <v>1174</v>
      </c>
      <c r="CC6" s="52" t="s">
        <v>1174</v>
      </c>
      <c r="CD6" s="52" t="s">
        <v>1428</v>
      </c>
      <c r="CE6" s="52" t="s">
        <v>1429</v>
      </c>
      <c r="CF6" s="52" t="s">
        <v>1429</v>
      </c>
      <c r="CG6" s="52" t="s">
        <v>1429</v>
      </c>
      <c r="CH6" s="52" t="s">
        <v>1429</v>
      </c>
      <c r="CI6" s="52" t="s">
        <v>1429</v>
      </c>
      <c r="CJ6" s="52" t="s">
        <v>1429</v>
      </c>
      <c r="CK6" s="52" t="s">
        <v>1429</v>
      </c>
      <c r="CL6" s="52" t="s">
        <v>1430</v>
      </c>
      <c r="CM6" s="52" t="s">
        <v>1430</v>
      </c>
      <c r="CN6" s="52" t="s">
        <v>1429</v>
      </c>
      <c r="CO6" s="52" t="s">
        <v>833</v>
      </c>
      <c r="CP6" s="52" t="s">
        <v>1431</v>
      </c>
      <c r="CQ6" s="52" t="s">
        <v>1429</v>
      </c>
      <c r="CR6" s="52" t="s">
        <v>1432</v>
      </c>
      <c r="CS6" s="52" t="s">
        <v>1213</v>
      </c>
      <c r="CT6" s="52" t="s">
        <v>1662</v>
      </c>
      <c r="CU6" s="52" t="s">
        <v>322</v>
      </c>
      <c r="CV6" s="52">
        <v>11371</v>
      </c>
      <c r="CW6" s="52">
        <v>133879</v>
      </c>
      <c r="CX6" s="52">
        <v>1046.567</v>
      </c>
      <c r="CY6" s="52">
        <v>87.54</v>
      </c>
      <c r="CZ6" s="52">
        <v>89.55</v>
      </c>
      <c r="DA6" s="52">
        <v>88</v>
      </c>
      <c r="DB6" s="52">
        <v>94.87</v>
      </c>
      <c r="DC6" s="52">
        <v>91.5</v>
      </c>
      <c r="DD6" s="52">
        <v>87.43</v>
      </c>
      <c r="DE6" s="52">
        <v>90.03</v>
      </c>
      <c r="DF6" s="52">
        <v>91.28</v>
      </c>
      <c r="DG6" s="52">
        <v>85.02</v>
      </c>
      <c r="DH6" s="52">
        <v>90.73</v>
      </c>
      <c r="DI6" s="52">
        <v>85.8</v>
      </c>
      <c r="DJ6" s="52">
        <v>81.8</v>
      </c>
      <c r="EA6" s="52" t="s">
        <v>1206</v>
      </c>
      <c r="EB6" s="52" t="s">
        <v>1451</v>
      </c>
      <c r="EC6" s="90" t="s">
        <v>1414</v>
      </c>
      <c r="EK6" s="52">
        <v>1106</v>
      </c>
      <c r="EL6" s="52" t="s">
        <v>204</v>
      </c>
      <c r="EM6" s="52" t="s">
        <v>1418</v>
      </c>
      <c r="EN6" s="91">
        <v>1.6E-2</v>
      </c>
      <c r="EQ6" s="91">
        <v>1.6E-2</v>
      </c>
      <c r="ER6" s="89">
        <v>59735.1558</v>
      </c>
      <c r="ES6" s="89">
        <v>955.76249280000002</v>
      </c>
      <c r="ET6" s="89">
        <v>264.84419999999955</v>
      </c>
      <c r="EU6" s="89">
        <v>264.84419999999955</v>
      </c>
    </row>
    <row r="7" spans="1:151" x14ac:dyDescent="0.25">
      <c r="A7" s="52" t="s">
        <v>1496</v>
      </c>
      <c r="D7" s="52">
        <v>214777105</v>
      </c>
      <c r="E7" s="52" t="s">
        <v>1215</v>
      </c>
      <c r="G7" s="52" t="s">
        <v>1251</v>
      </c>
      <c r="H7" s="52">
        <v>91017</v>
      </c>
      <c r="I7" s="52" t="s">
        <v>1254</v>
      </c>
      <c r="J7" s="52" t="s">
        <v>1252</v>
      </c>
      <c r="K7" s="52" t="s">
        <v>1404</v>
      </c>
      <c r="L7" s="52" t="s">
        <v>1456</v>
      </c>
      <c r="M7" s="52" t="s">
        <v>1250</v>
      </c>
      <c r="O7" s="4">
        <v>42369</v>
      </c>
      <c r="P7" s="4">
        <v>42369</v>
      </c>
      <c r="R7" s="52" t="s">
        <v>74</v>
      </c>
      <c r="S7" s="89">
        <v>-298000</v>
      </c>
      <c r="T7" s="89">
        <v>-298000</v>
      </c>
      <c r="W7" s="89">
        <v>-296906.34000000003</v>
      </c>
      <c r="Y7" s="52">
        <v>1</v>
      </c>
      <c r="Z7" s="52" t="s">
        <v>75</v>
      </c>
      <c r="AE7" s="52" t="s">
        <v>165</v>
      </c>
      <c r="AF7" s="52">
        <v>37.465434384997899</v>
      </c>
      <c r="AG7" s="52">
        <v>-37.470163352962103</v>
      </c>
      <c r="AH7" s="52">
        <v>0</v>
      </c>
      <c r="AI7" s="52">
        <v>0</v>
      </c>
      <c r="AJ7" s="52">
        <v>-2.75769715796923</v>
      </c>
      <c r="AK7" s="52">
        <v>100</v>
      </c>
      <c r="AL7" s="52" t="s">
        <v>1497</v>
      </c>
      <c r="AO7" s="52" t="s">
        <v>92</v>
      </c>
      <c r="AP7" s="52" t="s">
        <v>93</v>
      </c>
      <c r="AQ7" s="52" t="s">
        <v>1498</v>
      </c>
      <c r="AT7" s="52">
        <v>-134.69290000000001</v>
      </c>
      <c r="AU7" s="52">
        <v>894</v>
      </c>
      <c r="AX7" s="52" t="s">
        <v>76</v>
      </c>
      <c r="AY7" s="52" t="s">
        <v>1499</v>
      </c>
      <c r="BA7" s="52" t="s">
        <v>1253</v>
      </c>
      <c r="BG7" s="52">
        <v>500</v>
      </c>
      <c r="BH7" s="52">
        <v>505</v>
      </c>
      <c r="BI7" s="52" t="s">
        <v>1252</v>
      </c>
      <c r="BJ7" s="52" t="s">
        <v>1404</v>
      </c>
      <c r="BK7" s="52">
        <v>1</v>
      </c>
      <c r="CA7" s="52" t="s">
        <v>1410</v>
      </c>
      <c r="CB7" s="52" t="s">
        <v>1174</v>
      </c>
      <c r="CC7" s="52" t="s">
        <v>1174</v>
      </c>
      <c r="CD7" s="52" t="s">
        <v>1428</v>
      </c>
      <c r="CE7" s="52" t="s">
        <v>1429</v>
      </c>
      <c r="CF7" s="52" t="s">
        <v>1429</v>
      </c>
      <c r="CG7" s="52" t="s">
        <v>1429</v>
      </c>
      <c r="CH7" s="52" t="s">
        <v>1429</v>
      </c>
      <c r="CI7" s="52" t="s">
        <v>1429</v>
      </c>
      <c r="CJ7" s="52" t="s">
        <v>1429</v>
      </c>
      <c r="CK7" s="52" t="s">
        <v>1429</v>
      </c>
      <c r="CL7" s="52" t="s">
        <v>1430</v>
      </c>
      <c r="CM7" s="52" t="s">
        <v>1430</v>
      </c>
      <c r="CN7" s="52" t="s">
        <v>1429</v>
      </c>
      <c r="CO7" s="52" t="s">
        <v>833</v>
      </c>
      <c r="CP7" s="52" t="s">
        <v>1431</v>
      </c>
      <c r="CQ7" s="52" t="s">
        <v>1429</v>
      </c>
      <c r="CR7" s="52" t="s">
        <v>1432</v>
      </c>
      <c r="CS7" s="52" t="s">
        <v>1213</v>
      </c>
      <c r="CT7" s="52" t="s">
        <v>1462</v>
      </c>
      <c r="CU7" s="52" t="s">
        <v>1200</v>
      </c>
      <c r="CV7" s="52" t="s">
        <v>1200</v>
      </c>
      <c r="CW7" s="52" t="s">
        <v>1200</v>
      </c>
      <c r="CX7" s="52" t="s">
        <v>1200</v>
      </c>
      <c r="CY7" s="52" t="s">
        <v>1200</v>
      </c>
      <c r="CZ7" s="52" t="s">
        <v>1200</v>
      </c>
      <c r="DA7" s="52" t="s">
        <v>1200</v>
      </c>
      <c r="DB7" s="52" t="s">
        <v>1200</v>
      </c>
      <c r="DC7" s="52" t="s">
        <v>1200</v>
      </c>
      <c r="DD7" s="52" t="s">
        <v>1200</v>
      </c>
      <c r="DE7" s="52" t="s">
        <v>1200</v>
      </c>
      <c r="DF7" s="52" t="s">
        <v>1200</v>
      </c>
      <c r="DG7" s="52" t="s">
        <v>1200</v>
      </c>
      <c r="DH7" s="52" t="s">
        <v>1200</v>
      </c>
      <c r="DI7" s="52" t="s">
        <v>1200</v>
      </c>
      <c r="DJ7" s="52" t="s">
        <v>1200</v>
      </c>
      <c r="EA7" s="52" t="s">
        <v>1206</v>
      </c>
      <c r="EB7" s="52" t="s">
        <v>1451</v>
      </c>
      <c r="EC7" s="90" t="s">
        <v>1414</v>
      </c>
      <c r="EK7" s="52">
        <v>457</v>
      </c>
      <c r="EL7" s="52" t="s">
        <v>201</v>
      </c>
      <c r="EM7" s="52" t="s">
        <v>1417</v>
      </c>
      <c r="EN7" s="91">
        <v>0.01</v>
      </c>
      <c r="EQ7" s="91">
        <v>0.01</v>
      </c>
      <c r="ER7" s="89">
        <v>296906.34000000003</v>
      </c>
      <c r="ES7" s="89">
        <v>2969.0634000000005</v>
      </c>
      <c r="ET7" s="89">
        <v>1093.6599999999744</v>
      </c>
      <c r="EU7" s="89">
        <v>1093.6599999999744</v>
      </c>
    </row>
    <row r="8" spans="1:151" x14ac:dyDescent="0.25">
      <c r="A8" s="52" t="s">
        <v>1500</v>
      </c>
      <c r="D8" s="52">
        <v>214777112</v>
      </c>
      <c r="E8" s="52" t="s">
        <v>1215</v>
      </c>
      <c r="G8" s="52" t="s">
        <v>1251</v>
      </c>
      <c r="H8" s="52">
        <v>91017</v>
      </c>
      <c r="I8" s="52" t="s">
        <v>1254</v>
      </c>
      <c r="J8" s="52" t="s">
        <v>1252</v>
      </c>
      <c r="K8" s="52" t="s">
        <v>1404</v>
      </c>
      <c r="L8" s="52" t="s">
        <v>1501</v>
      </c>
      <c r="M8" s="52" t="s">
        <v>1250</v>
      </c>
      <c r="O8" s="4">
        <v>42016</v>
      </c>
      <c r="P8" s="4">
        <v>42016</v>
      </c>
      <c r="R8" s="52" t="s">
        <v>74</v>
      </c>
      <c r="S8" s="89">
        <v>-150000</v>
      </c>
      <c r="T8" s="89">
        <v>-150000</v>
      </c>
      <c r="W8" s="89">
        <v>-149923.5</v>
      </c>
      <c r="Y8" s="52">
        <v>1</v>
      </c>
      <c r="Z8" s="52" t="s">
        <v>75</v>
      </c>
      <c r="AE8" s="52" t="s">
        <v>165</v>
      </c>
      <c r="AF8" s="52">
        <v>4.3128057740104904</v>
      </c>
      <c r="AG8" s="52">
        <v>-4.3129298429994396</v>
      </c>
      <c r="AH8" s="52">
        <v>0</v>
      </c>
      <c r="AI8" s="52">
        <v>0</v>
      </c>
      <c r="AJ8" s="52">
        <v>-1.02624615299283</v>
      </c>
      <c r="AK8" s="52">
        <v>100</v>
      </c>
      <c r="AL8" s="52" t="s">
        <v>1502</v>
      </c>
      <c r="AO8" s="52" t="s">
        <v>92</v>
      </c>
      <c r="AP8" s="52" t="s">
        <v>93</v>
      </c>
      <c r="AQ8" s="52" t="s">
        <v>1503</v>
      </c>
      <c r="AT8" s="52">
        <v>-2.8332000000000002</v>
      </c>
      <c r="AU8" s="52">
        <v>450</v>
      </c>
      <c r="AX8" s="52" t="s">
        <v>76</v>
      </c>
      <c r="AY8" s="52" t="s">
        <v>1504</v>
      </c>
      <c r="BA8" s="52" t="s">
        <v>1253</v>
      </c>
      <c r="BG8" s="52">
        <v>500</v>
      </c>
      <c r="BH8" s="52">
        <v>505</v>
      </c>
      <c r="BI8" s="52" t="s">
        <v>1252</v>
      </c>
      <c r="BJ8" s="52" t="s">
        <v>1404</v>
      </c>
      <c r="BK8" s="52">
        <v>1</v>
      </c>
      <c r="CA8" s="52" t="s">
        <v>1410</v>
      </c>
      <c r="CB8" s="52" t="s">
        <v>1174</v>
      </c>
      <c r="CC8" s="52" t="s">
        <v>1174</v>
      </c>
      <c r="CD8" s="52" t="s">
        <v>1428</v>
      </c>
      <c r="CE8" s="52" t="s">
        <v>1429</v>
      </c>
      <c r="CF8" s="52" t="s">
        <v>1429</v>
      </c>
      <c r="CG8" s="52" t="s">
        <v>1429</v>
      </c>
      <c r="CH8" s="52" t="s">
        <v>1429</v>
      </c>
      <c r="CI8" s="52" t="s">
        <v>1429</v>
      </c>
      <c r="CJ8" s="52" t="s">
        <v>1429</v>
      </c>
      <c r="CK8" s="52" t="s">
        <v>1429</v>
      </c>
      <c r="CL8" s="52" t="s">
        <v>1430</v>
      </c>
      <c r="CM8" s="52" t="s">
        <v>1430</v>
      </c>
      <c r="CN8" s="52" t="s">
        <v>1429</v>
      </c>
      <c r="CO8" s="52" t="s">
        <v>833</v>
      </c>
      <c r="CP8" s="52" t="s">
        <v>1431</v>
      </c>
      <c r="CQ8" s="52" t="s">
        <v>1429</v>
      </c>
      <c r="CR8" s="52" t="s">
        <v>1432</v>
      </c>
      <c r="CS8" s="52" t="s">
        <v>1213</v>
      </c>
      <c r="CT8" s="52" t="s">
        <v>1663</v>
      </c>
      <c r="CU8" s="52" t="s">
        <v>322</v>
      </c>
      <c r="CV8" s="52" t="s">
        <v>1430</v>
      </c>
      <c r="CW8" s="52">
        <v>2573.6979999999999</v>
      </c>
      <c r="CX8" s="52">
        <v>31.977729999999998</v>
      </c>
      <c r="CY8" s="52">
        <v>17.07</v>
      </c>
      <c r="CZ8" s="52">
        <v>17.87</v>
      </c>
      <c r="DA8" s="52">
        <v>17.66</v>
      </c>
      <c r="DB8" s="52">
        <v>18.46</v>
      </c>
      <c r="DC8" s="52">
        <v>17.37</v>
      </c>
      <c r="DD8" s="52">
        <v>16.8</v>
      </c>
      <c r="DE8" s="52">
        <v>17.829999999999998</v>
      </c>
      <c r="DF8" s="52">
        <v>17.239999999999998</v>
      </c>
      <c r="DG8" s="52">
        <v>17.05</v>
      </c>
      <c r="DH8" s="52">
        <v>17.989999999999998</v>
      </c>
      <c r="DI8" s="52">
        <v>17.73</v>
      </c>
      <c r="DJ8" s="52">
        <v>16.5</v>
      </c>
      <c r="EA8" s="52" t="s">
        <v>1206</v>
      </c>
      <c r="EB8" s="52" t="s">
        <v>1451</v>
      </c>
      <c r="EC8" s="90" t="s">
        <v>1414</v>
      </c>
      <c r="EK8" s="52">
        <v>104</v>
      </c>
      <c r="EL8" s="52" t="s">
        <v>198</v>
      </c>
      <c r="EM8" s="52" t="s">
        <v>1416</v>
      </c>
      <c r="EN8" s="91">
        <v>2.5000000000000001E-3</v>
      </c>
      <c r="EQ8" s="91">
        <v>2.5000000000000001E-3</v>
      </c>
      <c r="ER8" s="89">
        <v>149923.5</v>
      </c>
      <c r="ES8" s="89">
        <v>374.80875000000003</v>
      </c>
      <c r="ET8" s="89">
        <v>76.5</v>
      </c>
      <c r="EU8" s="89">
        <v>76.5</v>
      </c>
    </row>
    <row r="9" spans="1:151" x14ac:dyDescent="0.25">
      <c r="A9" s="52" t="s">
        <v>1505</v>
      </c>
      <c r="D9" s="52">
        <v>214777113</v>
      </c>
      <c r="E9" s="52" t="s">
        <v>1215</v>
      </c>
      <c r="G9" s="52" t="s">
        <v>1251</v>
      </c>
      <c r="H9" s="52">
        <v>91017</v>
      </c>
      <c r="I9" s="52" t="s">
        <v>1254</v>
      </c>
      <c r="J9" s="52" t="s">
        <v>1252</v>
      </c>
      <c r="K9" s="52" t="s">
        <v>1404</v>
      </c>
      <c r="L9" s="52" t="s">
        <v>1506</v>
      </c>
      <c r="M9" s="52" t="s">
        <v>1250</v>
      </c>
      <c r="O9" s="4">
        <v>45573</v>
      </c>
      <c r="P9" s="4">
        <v>45573</v>
      </c>
      <c r="R9" s="52" t="s">
        <v>74</v>
      </c>
      <c r="S9" s="89">
        <v>-25000</v>
      </c>
      <c r="T9" s="89">
        <v>-25000</v>
      </c>
      <c r="W9" s="89">
        <v>-24680.5</v>
      </c>
      <c r="Y9" s="52">
        <v>1</v>
      </c>
      <c r="Z9" s="52" t="s">
        <v>75</v>
      </c>
      <c r="AE9" s="52" t="s">
        <v>165</v>
      </c>
      <c r="AF9" s="52">
        <v>21.475531337699099</v>
      </c>
      <c r="AG9" s="52">
        <v>-21.495931310699198</v>
      </c>
      <c r="AH9" s="52">
        <v>0</v>
      </c>
      <c r="AI9" s="52">
        <v>0</v>
      </c>
      <c r="AJ9" s="52">
        <v>-0.48959364890106399</v>
      </c>
      <c r="AK9" s="52">
        <v>100</v>
      </c>
      <c r="AL9" s="52" t="s">
        <v>1507</v>
      </c>
      <c r="AO9" s="52" t="s">
        <v>92</v>
      </c>
      <c r="AP9" s="52" t="s">
        <v>93</v>
      </c>
      <c r="AQ9" s="52" t="s">
        <v>1508</v>
      </c>
      <c r="AT9" s="52">
        <v>-253.94489999999999</v>
      </c>
      <c r="AU9" s="52">
        <v>75</v>
      </c>
      <c r="AX9" s="52" t="s">
        <v>76</v>
      </c>
      <c r="AY9" s="52" t="s">
        <v>1509</v>
      </c>
      <c r="BA9" s="52" t="s">
        <v>1253</v>
      </c>
      <c r="BG9" s="52">
        <v>500</v>
      </c>
      <c r="BH9" s="52">
        <v>505</v>
      </c>
      <c r="BI9" s="52" t="s">
        <v>1252</v>
      </c>
      <c r="BJ9" s="52" t="s">
        <v>1404</v>
      </c>
      <c r="BK9" s="52">
        <v>1</v>
      </c>
      <c r="CA9" s="52" t="s">
        <v>1410</v>
      </c>
      <c r="CB9" s="52" t="s">
        <v>1174</v>
      </c>
      <c r="CC9" s="52" t="s">
        <v>1174</v>
      </c>
      <c r="CD9" s="52" t="s">
        <v>1428</v>
      </c>
      <c r="CE9" s="52" t="s">
        <v>1429</v>
      </c>
      <c r="CF9" s="52" t="s">
        <v>1429</v>
      </c>
      <c r="CG9" s="52" t="s">
        <v>1429</v>
      </c>
      <c r="CH9" s="52" t="s">
        <v>1429</v>
      </c>
      <c r="CI9" s="52" t="s">
        <v>1429</v>
      </c>
      <c r="CJ9" s="52" t="s">
        <v>1429</v>
      </c>
      <c r="CK9" s="52" t="s">
        <v>1429</v>
      </c>
      <c r="CL9" s="52" t="s">
        <v>1430</v>
      </c>
      <c r="CM9" s="52" t="s">
        <v>1430</v>
      </c>
      <c r="CN9" s="52" t="s">
        <v>1429</v>
      </c>
      <c r="CO9" s="52" t="s">
        <v>833</v>
      </c>
      <c r="CP9" s="52" t="s">
        <v>1431</v>
      </c>
      <c r="CQ9" s="52" t="s">
        <v>1429</v>
      </c>
      <c r="CR9" s="52" t="s">
        <v>1432</v>
      </c>
      <c r="CS9" s="52" t="s">
        <v>1213</v>
      </c>
      <c r="CT9" s="52" t="s">
        <v>1664</v>
      </c>
      <c r="CU9" s="52" t="s">
        <v>1200</v>
      </c>
      <c r="CV9" s="52" t="s">
        <v>1200</v>
      </c>
      <c r="CW9" s="52" t="s">
        <v>1200</v>
      </c>
      <c r="CX9" s="52" t="s">
        <v>1200</v>
      </c>
      <c r="CY9" s="52" t="s">
        <v>1200</v>
      </c>
      <c r="CZ9" s="52" t="s">
        <v>1200</v>
      </c>
      <c r="DA9" s="52" t="s">
        <v>1200</v>
      </c>
      <c r="DB9" s="52" t="s">
        <v>1200</v>
      </c>
      <c r="DC9" s="52" t="s">
        <v>1200</v>
      </c>
      <c r="DD9" s="52" t="s">
        <v>1200</v>
      </c>
      <c r="DE9" s="52" t="s">
        <v>1200</v>
      </c>
      <c r="DF9" s="52" t="s">
        <v>1200</v>
      </c>
      <c r="DG9" s="52" t="s">
        <v>1200</v>
      </c>
      <c r="DH9" s="52" t="s">
        <v>1200</v>
      </c>
      <c r="DI9" s="52" t="s">
        <v>1200</v>
      </c>
      <c r="DJ9" s="52" t="s">
        <v>1200</v>
      </c>
      <c r="EA9" s="52" t="s">
        <v>1206</v>
      </c>
      <c r="EB9" s="52" t="s">
        <v>1451</v>
      </c>
      <c r="EC9" s="90" t="s">
        <v>1414</v>
      </c>
      <c r="EK9" s="52">
        <v>3661</v>
      </c>
      <c r="EL9" s="52" t="s">
        <v>204</v>
      </c>
      <c r="EM9" s="52" t="s">
        <v>1418</v>
      </c>
      <c r="EN9" s="91">
        <v>1.6E-2</v>
      </c>
      <c r="EQ9" s="91">
        <v>1.6E-2</v>
      </c>
      <c r="ER9" s="89">
        <v>24680.5</v>
      </c>
      <c r="ES9" s="89">
        <v>394.88800000000003</v>
      </c>
      <c r="ET9" s="89">
        <v>319.5</v>
      </c>
      <c r="EU9" s="89">
        <v>319.5</v>
      </c>
    </row>
    <row r="10" spans="1:151" x14ac:dyDescent="0.25">
      <c r="A10" s="52" t="s">
        <v>1510</v>
      </c>
      <c r="D10" s="52">
        <v>214777114</v>
      </c>
      <c r="E10" s="52" t="s">
        <v>1215</v>
      </c>
      <c r="G10" s="52" t="s">
        <v>1251</v>
      </c>
      <c r="H10" s="52">
        <v>91017</v>
      </c>
      <c r="I10" s="52" t="s">
        <v>1254</v>
      </c>
      <c r="J10" s="52" t="s">
        <v>1252</v>
      </c>
      <c r="K10" s="52" t="s">
        <v>1404</v>
      </c>
      <c r="L10" s="52" t="s">
        <v>1466</v>
      </c>
      <c r="M10" s="52" t="s">
        <v>1250</v>
      </c>
      <c r="O10" s="4">
        <v>43382</v>
      </c>
      <c r="P10" s="4">
        <v>43382</v>
      </c>
      <c r="R10" s="52" t="s">
        <v>74</v>
      </c>
      <c r="S10" s="89">
        <v>-125000</v>
      </c>
      <c r="T10" s="89">
        <v>-125000</v>
      </c>
      <c r="W10" s="89">
        <v>-123842.5</v>
      </c>
      <c r="Y10" s="52">
        <v>1</v>
      </c>
      <c r="Z10" s="52" t="s">
        <v>75</v>
      </c>
      <c r="AE10" s="52" t="s">
        <v>165</v>
      </c>
      <c r="AF10" s="52">
        <v>48.484531344001901</v>
      </c>
      <c r="AG10" s="52">
        <v>-48.503837597003397</v>
      </c>
      <c r="AH10" s="52">
        <v>0</v>
      </c>
      <c r="AI10" s="52">
        <v>0</v>
      </c>
      <c r="AJ10" s="52">
        <v>-1.74952438700711</v>
      </c>
      <c r="AK10" s="52">
        <v>100</v>
      </c>
      <c r="AL10" s="52" t="s">
        <v>1511</v>
      </c>
      <c r="AO10" s="52" t="s">
        <v>92</v>
      </c>
      <c r="AP10" s="52" t="s">
        <v>93</v>
      </c>
      <c r="AQ10" s="52" t="s">
        <v>1512</v>
      </c>
      <c r="AT10" s="52">
        <v>-672.17570000000001</v>
      </c>
      <c r="AU10" s="52">
        <v>375</v>
      </c>
      <c r="AX10" s="52" t="s">
        <v>76</v>
      </c>
      <c r="AY10" s="52" t="s">
        <v>1513</v>
      </c>
      <c r="BA10" s="52" t="s">
        <v>1253</v>
      </c>
      <c r="BG10" s="52">
        <v>500</v>
      </c>
      <c r="BH10" s="52">
        <v>505</v>
      </c>
      <c r="BI10" s="52" t="s">
        <v>1252</v>
      </c>
      <c r="BJ10" s="52" t="s">
        <v>1404</v>
      </c>
      <c r="BK10" s="52">
        <v>1</v>
      </c>
      <c r="CA10" s="52" t="s">
        <v>1410</v>
      </c>
      <c r="CB10" s="52" t="s">
        <v>1174</v>
      </c>
      <c r="CC10" s="52" t="s">
        <v>1174</v>
      </c>
      <c r="CD10" s="52" t="s">
        <v>1428</v>
      </c>
      <c r="CE10" s="52" t="s">
        <v>1429</v>
      </c>
      <c r="CF10" s="52" t="s">
        <v>1429</v>
      </c>
      <c r="CG10" s="52" t="s">
        <v>1429</v>
      </c>
      <c r="CH10" s="52" t="s">
        <v>1429</v>
      </c>
      <c r="CI10" s="52" t="s">
        <v>1429</v>
      </c>
      <c r="CJ10" s="52" t="s">
        <v>1429</v>
      </c>
      <c r="CK10" s="52" t="s">
        <v>1429</v>
      </c>
      <c r="CL10" s="52" t="s">
        <v>1430</v>
      </c>
      <c r="CM10" s="52" t="s">
        <v>1430</v>
      </c>
      <c r="CN10" s="52" t="s">
        <v>1429</v>
      </c>
      <c r="CO10" s="52" t="s">
        <v>833</v>
      </c>
      <c r="CP10" s="52" t="s">
        <v>1431</v>
      </c>
      <c r="CQ10" s="52" t="s">
        <v>1429</v>
      </c>
      <c r="CR10" s="52" t="s">
        <v>1432</v>
      </c>
      <c r="CS10" s="52" t="s">
        <v>1213</v>
      </c>
      <c r="CT10" s="52" t="s">
        <v>1482</v>
      </c>
      <c r="CU10" s="52" t="s">
        <v>322</v>
      </c>
      <c r="CV10" s="52">
        <v>1360.961</v>
      </c>
      <c r="CW10" s="52">
        <v>12388.496000000001</v>
      </c>
      <c r="CX10" s="52">
        <v>55.528309999999998</v>
      </c>
      <c r="CY10" s="52">
        <v>248.27</v>
      </c>
      <c r="CZ10" s="52">
        <v>264.64</v>
      </c>
      <c r="DA10" s="52">
        <v>262.29000000000002</v>
      </c>
      <c r="DB10" s="52">
        <v>281.25</v>
      </c>
      <c r="DC10" s="52">
        <v>256.05</v>
      </c>
      <c r="DD10" s="52">
        <v>241.9</v>
      </c>
      <c r="DE10" s="52">
        <v>272.45</v>
      </c>
      <c r="DF10" s="52">
        <v>285.11</v>
      </c>
      <c r="DG10" s="52">
        <v>239.66</v>
      </c>
      <c r="DH10" s="52">
        <v>262.93</v>
      </c>
      <c r="DI10" s="52">
        <v>242.26</v>
      </c>
      <c r="DJ10" s="52">
        <v>237.06</v>
      </c>
      <c r="EA10" s="52" t="s">
        <v>1206</v>
      </c>
      <c r="EB10" s="52" t="s">
        <v>1451</v>
      </c>
      <c r="EC10" s="90" t="s">
        <v>1414</v>
      </c>
      <c r="EK10" s="52">
        <v>1470</v>
      </c>
      <c r="EL10" s="52" t="s">
        <v>204</v>
      </c>
      <c r="EM10" s="52" t="s">
        <v>1418</v>
      </c>
      <c r="EN10" s="91">
        <v>1.6E-2</v>
      </c>
      <c r="EQ10" s="91">
        <v>1.6E-2</v>
      </c>
      <c r="ER10" s="89">
        <v>123842.5</v>
      </c>
      <c r="ES10" s="89">
        <v>1981.48</v>
      </c>
      <c r="ET10" s="89">
        <v>1157.5</v>
      </c>
      <c r="EU10" s="89">
        <v>1157.5</v>
      </c>
    </row>
    <row r="11" spans="1:151" x14ac:dyDescent="0.25">
      <c r="A11" s="52" t="s">
        <v>1514</v>
      </c>
      <c r="D11" s="52">
        <v>214777115</v>
      </c>
      <c r="E11" s="52" t="s">
        <v>1215</v>
      </c>
      <c r="G11" s="52" t="s">
        <v>1251</v>
      </c>
      <c r="H11" s="52">
        <v>91017</v>
      </c>
      <c r="I11" s="52" t="s">
        <v>1254</v>
      </c>
      <c r="J11" s="52" t="s">
        <v>1252</v>
      </c>
      <c r="K11" s="52" t="s">
        <v>1404</v>
      </c>
      <c r="L11" s="52" t="s">
        <v>1515</v>
      </c>
      <c r="M11" s="52" t="s">
        <v>1250</v>
      </c>
      <c r="O11" s="4">
        <v>43745</v>
      </c>
      <c r="P11" s="4">
        <v>43745</v>
      </c>
      <c r="R11" s="52" t="s">
        <v>74</v>
      </c>
      <c r="S11" s="89">
        <v>-272000</v>
      </c>
      <c r="T11" s="89">
        <v>-272000</v>
      </c>
      <c r="W11" s="89">
        <v>-269380.64</v>
      </c>
      <c r="Y11" s="52">
        <v>1</v>
      </c>
      <c r="Z11" s="52" t="s">
        <v>75</v>
      </c>
      <c r="AE11" s="52" t="s">
        <v>165</v>
      </c>
      <c r="AF11" s="52">
        <v>129.830210736021</v>
      </c>
      <c r="AG11" s="52">
        <v>-129.89436424599299</v>
      </c>
      <c r="AH11" s="52">
        <v>0</v>
      </c>
      <c r="AI11" s="52">
        <v>0</v>
      </c>
      <c r="AJ11" s="52">
        <v>-2.81446341896662</v>
      </c>
      <c r="AK11" s="52">
        <v>100</v>
      </c>
      <c r="AL11" s="52" t="s">
        <v>1516</v>
      </c>
      <c r="AO11" s="52" t="s">
        <v>92</v>
      </c>
      <c r="AP11" s="52" t="s">
        <v>93</v>
      </c>
      <c r="AQ11" s="52" t="s">
        <v>1517</v>
      </c>
      <c r="AT11" s="52">
        <v>-1673.1463000000001</v>
      </c>
      <c r="AU11" s="52">
        <v>816</v>
      </c>
      <c r="AX11" s="52" t="s">
        <v>76</v>
      </c>
      <c r="AY11" s="52" t="s">
        <v>1518</v>
      </c>
      <c r="BA11" s="52" t="s">
        <v>1253</v>
      </c>
      <c r="BG11" s="52">
        <v>500</v>
      </c>
      <c r="BH11" s="52">
        <v>505</v>
      </c>
      <c r="BI11" s="52" t="s">
        <v>1252</v>
      </c>
      <c r="BJ11" s="52" t="s">
        <v>1404</v>
      </c>
      <c r="BK11" s="52">
        <v>1</v>
      </c>
      <c r="CA11" s="52" t="s">
        <v>1410</v>
      </c>
      <c r="CB11" s="52" t="s">
        <v>1174</v>
      </c>
      <c r="CC11" s="52" t="s">
        <v>1174</v>
      </c>
      <c r="CD11" s="52" t="s">
        <v>1428</v>
      </c>
      <c r="CE11" s="52" t="s">
        <v>1429</v>
      </c>
      <c r="CF11" s="52" t="s">
        <v>1429</v>
      </c>
      <c r="CG11" s="52" t="s">
        <v>1429</v>
      </c>
      <c r="CH11" s="52" t="s">
        <v>1429</v>
      </c>
      <c r="CI11" s="52" t="s">
        <v>1429</v>
      </c>
      <c r="CJ11" s="52" t="s">
        <v>1429</v>
      </c>
      <c r="CK11" s="52" t="s">
        <v>1429</v>
      </c>
      <c r="CL11" s="52" t="s">
        <v>1430</v>
      </c>
      <c r="CM11" s="52" t="s">
        <v>1430</v>
      </c>
      <c r="CN11" s="52" t="s">
        <v>1429</v>
      </c>
      <c r="CO11" s="52" t="s">
        <v>833</v>
      </c>
      <c r="CP11" s="52" t="s">
        <v>1431</v>
      </c>
      <c r="CQ11" s="52" t="s">
        <v>1429</v>
      </c>
      <c r="CR11" s="52" t="s">
        <v>1432</v>
      </c>
      <c r="CS11" s="52" t="s">
        <v>1213</v>
      </c>
      <c r="CT11" s="52" t="s">
        <v>1482</v>
      </c>
      <c r="CU11" s="52" t="s">
        <v>322</v>
      </c>
      <c r="CV11" s="52">
        <v>1360.961</v>
      </c>
      <c r="CW11" s="52">
        <v>12388.496000000001</v>
      </c>
      <c r="CX11" s="52">
        <v>55.528309999999998</v>
      </c>
      <c r="CY11" s="52">
        <v>248.27</v>
      </c>
      <c r="CZ11" s="52">
        <v>264.64</v>
      </c>
      <c r="DA11" s="52">
        <v>262.29000000000002</v>
      </c>
      <c r="DB11" s="52">
        <v>281.25</v>
      </c>
      <c r="DC11" s="52">
        <v>256.05</v>
      </c>
      <c r="DD11" s="52">
        <v>241.9</v>
      </c>
      <c r="DE11" s="52">
        <v>272.45</v>
      </c>
      <c r="DF11" s="52">
        <v>285.11</v>
      </c>
      <c r="DG11" s="52">
        <v>239.66</v>
      </c>
      <c r="DH11" s="52">
        <v>262.93</v>
      </c>
      <c r="DI11" s="52">
        <v>242.26</v>
      </c>
      <c r="DJ11" s="52">
        <v>237.06</v>
      </c>
      <c r="EA11" s="52" t="s">
        <v>1206</v>
      </c>
      <c r="EB11" s="52" t="s">
        <v>1451</v>
      </c>
      <c r="EC11" s="90" t="s">
        <v>1414</v>
      </c>
      <c r="EK11" s="52">
        <v>1833</v>
      </c>
      <c r="EL11" s="52" t="s">
        <v>204</v>
      </c>
      <c r="EM11" s="52" t="s">
        <v>1418</v>
      </c>
      <c r="EN11" s="91">
        <v>1.6E-2</v>
      </c>
      <c r="EQ11" s="91">
        <v>1.6E-2</v>
      </c>
      <c r="ER11" s="89">
        <v>269380.64</v>
      </c>
      <c r="ES11" s="89">
        <v>4310.0902400000004</v>
      </c>
      <c r="ET11" s="89">
        <v>2619.359999999986</v>
      </c>
      <c r="EU11" s="89">
        <v>2619.359999999986</v>
      </c>
    </row>
    <row r="12" spans="1:151" x14ac:dyDescent="0.25">
      <c r="A12" s="52" t="s">
        <v>1519</v>
      </c>
      <c r="D12" s="52">
        <v>214777117</v>
      </c>
      <c r="E12" s="52" t="s">
        <v>1215</v>
      </c>
      <c r="G12" s="52" t="s">
        <v>1251</v>
      </c>
      <c r="H12" s="52">
        <v>91017</v>
      </c>
      <c r="I12" s="52" t="s">
        <v>1254</v>
      </c>
      <c r="J12" s="52" t="s">
        <v>1252</v>
      </c>
      <c r="K12" s="52" t="s">
        <v>1404</v>
      </c>
      <c r="L12" s="52" t="s">
        <v>1468</v>
      </c>
      <c r="M12" s="52" t="s">
        <v>1250</v>
      </c>
      <c r="O12" s="4">
        <v>43746</v>
      </c>
      <c r="P12" s="4">
        <v>43746</v>
      </c>
      <c r="R12" s="52" t="s">
        <v>74</v>
      </c>
      <c r="S12" s="89">
        <v>-75000</v>
      </c>
      <c r="T12" s="89">
        <v>-75000</v>
      </c>
      <c r="W12" s="89">
        <v>-74457</v>
      </c>
      <c r="Y12" s="52">
        <v>1</v>
      </c>
      <c r="Z12" s="52" t="s">
        <v>75</v>
      </c>
      <c r="AE12" s="52" t="s">
        <v>165</v>
      </c>
      <c r="AF12" s="52">
        <v>35.845226392295402</v>
      </c>
      <c r="AG12" s="52">
        <v>-35.862935632700101</v>
      </c>
      <c r="AH12" s="52">
        <v>0</v>
      </c>
      <c r="AI12" s="52">
        <v>0</v>
      </c>
      <c r="AJ12" s="52">
        <v>-0.85602151519560699</v>
      </c>
      <c r="AK12" s="52">
        <v>100</v>
      </c>
      <c r="AL12" s="52" t="s">
        <v>1520</v>
      </c>
      <c r="AO12" s="52" t="s">
        <v>92</v>
      </c>
      <c r="AP12" s="52" t="s">
        <v>93</v>
      </c>
      <c r="AQ12" s="52" t="s">
        <v>1521</v>
      </c>
      <c r="AT12" s="52">
        <v>-461.48250000000002</v>
      </c>
      <c r="AU12" s="52">
        <v>225</v>
      </c>
      <c r="AX12" s="52" t="s">
        <v>76</v>
      </c>
      <c r="AY12" s="52" t="s">
        <v>1522</v>
      </c>
      <c r="BA12" s="52" t="s">
        <v>1253</v>
      </c>
      <c r="BG12" s="52">
        <v>500</v>
      </c>
      <c r="BH12" s="52">
        <v>505</v>
      </c>
      <c r="BI12" s="52" t="s">
        <v>1252</v>
      </c>
      <c r="BJ12" s="52" t="s">
        <v>1404</v>
      </c>
      <c r="BK12" s="52">
        <v>1</v>
      </c>
      <c r="CA12" s="52" t="s">
        <v>1410</v>
      </c>
      <c r="CB12" s="52" t="s">
        <v>1174</v>
      </c>
      <c r="CC12" s="52" t="s">
        <v>1174</v>
      </c>
      <c r="CD12" s="52" t="s">
        <v>1428</v>
      </c>
      <c r="CE12" s="52" t="s">
        <v>1429</v>
      </c>
      <c r="CF12" s="52" t="s">
        <v>1429</v>
      </c>
      <c r="CG12" s="52" t="s">
        <v>1429</v>
      </c>
      <c r="CH12" s="52" t="s">
        <v>1429</v>
      </c>
      <c r="CI12" s="52" t="s">
        <v>1429</v>
      </c>
      <c r="CJ12" s="52" t="s">
        <v>1429</v>
      </c>
      <c r="CK12" s="52" t="s">
        <v>1429</v>
      </c>
      <c r="CL12" s="52" t="s">
        <v>1430</v>
      </c>
      <c r="CM12" s="52" t="s">
        <v>1430</v>
      </c>
      <c r="CN12" s="52" t="s">
        <v>1429</v>
      </c>
      <c r="CO12" s="52" t="s">
        <v>833</v>
      </c>
      <c r="CP12" s="52" t="s">
        <v>1431</v>
      </c>
      <c r="CQ12" s="52" t="s">
        <v>1429</v>
      </c>
      <c r="CR12" s="52" t="s">
        <v>1432</v>
      </c>
      <c r="CS12" s="52" t="s">
        <v>1213</v>
      </c>
      <c r="CT12" s="52" t="s">
        <v>1483</v>
      </c>
      <c r="CU12" s="52" t="s">
        <v>322</v>
      </c>
      <c r="CV12" s="52">
        <v>5367</v>
      </c>
      <c r="CW12" s="52">
        <v>68531</v>
      </c>
      <c r="CX12" s="52">
        <v>461.90439999999995</v>
      </c>
      <c r="CY12" s="52">
        <v>64.39</v>
      </c>
      <c r="CZ12" s="52">
        <v>62.37</v>
      </c>
      <c r="DA12" s="52">
        <v>61.06</v>
      </c>
      <c r="DB12" s="52">
        <v>61.98</v>
      </c>
      <c r="DC12" s="52">
        <v>59.13</v>
      </c>
      <c r="DD12" s="52">
        <v>55.9</v>
      </c>
      <c r="DE12" s="52">
        <v>58.19</v>
      </c>
      <c r="DF12" s="52">
        <v>57.38</v>
      </c>
      <c r="DG12" s="52">
        <v>53.65</v>
      </c>
      <c r="DH12" s="52">
        <v>55.95</v>
      </c>
      <c r="DI12" s="52">
        <v>53.3</v>
      </c>
      <c r="DJ12" s="52">
        <v>51.88</v>
      </c>
      <c r="EA12" s="52" t="s">
        <v>1206</v>
      </c>
      <c r="EB12" s="52" t="s">
        <v>1451</v>
      </c>
      <c r="EC12" s="90" t="s">
        <v>1414</v>
      </c>
      <c r="EK12" s="52">
        <v>1834</v>
      </c>
      <c r="EL12" s="52" t="s">
        <v>204</v>
      </c>
      <c r="EM12" s="52" t="s">
        <v>1418</v>
      </c>
      <c r="EN12" s="91">
        <v>1.6E-2</v>
      </c>
      <c r="EQ12" s="91">
        <v>1.6E-2</v>
      </c>
      <c r="ER12" s="89">
        <v>74457</v>
      </c>
      <c r="ES12" s="89">
        <v>1191.3120000000001</v>
      </c>
      <c r="ET12" s="89">
        <v>543</v>
      </c>
      <c r="EU12" s="89">
        <v>543</v>
      </c>
    </row>
    <row r="13" spans="1:151" x14ac:dyDescent="0.25">
      <c r="A13" s="52" t="s">
        <v>1523</v>
      </c>
      <c r="D13" s="52">
        <v>214777119</v>
      </c>
      <c r="E13" s="52" t="s">
        <v>1215</v>
      </c>
      <c r="G13" s="52" t="s">
        <v>1251</v>
      </c>
      <c r="H13" s="52">
        <v>91017</v>
      </c>
      <c r="I13" s="52" t="s">
        <v>1254</v>
      </c>
      <c r="J13" s="52" t="s">
        <v>1252</v>
      </c>
      <c r="K13" s="52" t="s">
        <v>1404</v>
      </c>
      <c r="L13" s="52" t="s">
        <v>1468</v>
      </c>
      <c r="M13" s="52" t="s">
        <v>1250</v>
      </c>
      <c r="O13" s="4">
        <v>42468</v>
      </c>
      <c r="P13" s="4">
        <v>42468</v>
      </c>
      <c r="R13" s="52" t="s">
        <v>74</v>
      </c>
      <c r="S13" s="89">
        <v>-150000</v>
      </c>
      <c r="T13" s="89">
        <v>-150000</v>
      </c>
      <c r="W13" s="89">
        <v>-149535</v>
      </c>
      <c r="Y13" s="52">
        <v>1</v>
      </c>
      <c r="Z13" s="52" t="s">
        <v>75</v>
      </c>
      <c r="AE13" s="52" t="s">
        <v>165</v>
      </c>
      <c r="AF13" s="52">
        <v>22.850321743986601</v>
      </c>
      <c r="AG13" s="52">
        <v>-22.8538165010104</v>
      </c>
      <c r="AH13" s="52">
        <v>0</v>
      </c>
      <c r="AI13" s="52">
        <v>0</v>
      </c>
      <c r="AJ13" s="52">
        <v>-1.32978437098791</v>
      </c>
      <c r="AK13" s="52">
        <v>100</v>
      </c>
      <c r="AL13" s="52" t="s">
        <v>1524</v>
      </c>
      <c r="AO13" s="52" t="s">
        <v>92</v>
      </c>
      <c r="AP13" s="52" t="s">
        <v>93</v>
      </c>
      <c r="AQ13" s="52" t="s">
        <v>1525</v>
      </c>
      <c r="AT13" s="52">
        <v>-119.5214</v>
      </c>
      <c r="AU13" s="52">
        <v>450</v>
      </c>
      <c r="AX13" s="52" t="s">
        <v>76</v>
      </c>
      <c r="AY13" s="52" t="s">
        <v>1526</v>
      </c>
      <c r="BA13" s="52" t="s">
        <v>1253</v>
      </c>
      <c r="BG13" s="52">
        <v>500</v>
      </c>
      <c r="BH13" s="52">
        <v>505</v>
      </c>
      <c r="BI13" s="52" t="s">
        <v>1252</v>
      </c>
      <c r="BJ13" s="52" t="s">
        <v>1404</v>
      </c>
      <c r="BK13" s="52">
        <v>1</v>
      </c>
      <c r="CA13" s="52" t="s">
        <v>1410</v>
      </c>
      <c r="CB13" s="52" t="s">
        <v>1174</v>
      </c>
      <c r="CC13" s="52" t="s">
        <v>1174</v>
      </c>
      <c r="CD13" s="52" t="s">
        <v>1428</v>
      </c>
      <c r="CE13" s="52" t="s">
        <v>1429</v>
      </c>
      <c r="CF13" s="52" t="s">
        <v>1429</v>
      </c>
      <c r="CG13" s="52" t="s">
        <v>1429</v>
      </c>
      <c r="CH13" s="52" t="s">
        <v>1429</v>
      </c>
      <c r="CI13" s="52" t="s">
        <v>1429</v>
      </c>
      <c r="CJ13" s="52" t="s">
        <v>1429</v>
      </c>
      <c r="CK13" s="52" t="s">
        <v>1429</v>
      </c>
      <c r="CL13" s="52" t="s">
        <v>1430</v>
      </c>
      <c r="CM13" s="52" t="s">
        <v>1430</v>
      </c>
      <c r="CN13" s="52" t="s">
        <v>1429</v>
      </c>
      <c r="CO13" s="52" t="s">
        <v>833</v>
      </c>
      <c r="CP13" s="52" t="s">
        <v>1431</v>
      </c>
      <c r="CQ13" s="52" t="s">
        <v>1429</v>
      </c>
      <c r="CR13" s="52" t="s">
        <v>1432</v>
      </c>
      <c r="CS13" s="52" t="s">
        <v>1213</v>
      </c>
      <c r="CT13" s="52" t="s">
        <v>1483</v>
      </c>
      <c r="CU13" s="52" t="s">
        <v>322</v>
      </c>
      <c r="CV13" s="52">
        <v>5367</v>
      </c>
      <c r="CW13" s="52">
        <v>68531</v>
      </c>
      <c r="CX13" s="52">
        <v>461.90439999999995</v>
      </c>
      <c r="CY13" s="52">
        <v>64.39</v>
      </c>
      <c r="CZ13" s="52">
        <v>62.37</v>
      </c>
      <c r="DA13" s="52">
        <v>61.06</v>
      </c>
      <c r="DB13" s="52">
        <v>61.98</v>
      </c>
      <c r="DC13" s="52">
        <v>59.13</v>
      </c>
      <c r="DD13" s="52">
        <v>55.9</v>
      </c>
      <c r="DE13" s="52">
        <v>58.19</v>
      </c>
      <c r="DF13" s="52">
        <v>57.38</v>
      </c>
      <c r="DG13" s="52">
        <v>53.65</v>
      </c>
      <c r="DH13" s="52">
        <v>55.95</v>
      </c>
      <c r="DI13" s="52">
        <v>53.3</v>
      </c>
      <c r="DJ13" s="52">
        <v>51.88</v>
      </c>
      <c r="EA13" s="52" t="s">
        <v>1206</v>
      </c>
      <c r="EB13" s="52" t="s">
        <v>1451</v>
      </c>
      <c r="EC13" s="90" t="s">
        <v>1414</v>
      </c>
      <c r="EK13" s="52">
        <v>556</v>
      </c>
      <c r="EL13" s="52" t="s">
        <v>201</v>
      </c>
      <c r="EM13" s="52" t="s">
        <v>1417</v>
      </c>
      <c r="EN13" s="91">
        <v>0.01</v>
      </c>
      <c r="EQ13" s="91">
        <v>0.01</v>
      </c>
      <c r="ER13" s="89">
        <v>149535</v>
      </c>
      <c r="ES13" s="89">
        <v>1495.3500000000001</v>
      </c>
      <c r="ET13" s="89">
        <v>465</v>
      </c>
      <c r="EU13" s="89">
        <v>465</v>
      </c>
    </row>
    <row r="14" spans="1:151" x14ac:dyDescent="0.25">
      <c r="A14" s="52" t="s">
        <v>1527</v>
      </c>
      <c r="D14" s="52">
        <v>214777121</v>
      </c>
      <c r="E14" s="52" t="s">
        <v>1215</v>
      </c>
      <c r="G14" s="52" t="s">
        <v>1251</v>
      </c>
      <c r="H14" s="52">
        <v>91017</v>
      </c>
      <c r="I14" s="52" t="s">
        <v>1254</v>
      </c>
      <c r="J14" s="52" t="s">
        <v>1252</v>
      </c>
      <c r="K14" s="52" t="s">
        <v>1404</v>
      </c>
      <c r="L14" s="52" t="s">
        <v>1468</v>
      </c>
      <c r="M14" s="52" t="s">
        <v>1250</v>
      </c>
      <c r="O14" s="4">
        <v>43018</v>
      </c>
      <c r="P14" s="4">
        <v>43018</v>
      </c>
      <c r="R14" s="52" t="s">
        <v>74</v>
      </c>
      <c r="S14" s="89">
        <v>-62000</v>
      </c>
      <c r="T14" s="89">
        <v>-62000</v>
      </c>
      <c r="W14" s="89">
        <v>-61725.96</v>
      </c>
      <c r="Y14" s="52">
        <v>1</v>
      </c>
      <c r="Z14" s="52" t="s">
        <v>75</v>
      </c>
      <c r="AE14" s="52" t="s">
        <v>165</v>
      </c>
      <c r="AF14" s="52">
        <v>18.4484352065992</v>
      </c>
      <c r="AG14" s="52">
        <v>-18.4539946210061</v>
      </c>
      <c r="AH14" s="52">
        <v>0</v>
      </c>
      <c r="AI14" s="52">
        <v>0</v>
      </c>
      <c r="AJ14" s="52">
        <v>-0.57521731390443198</v>
      </c>
      <c r="AK14" s="52">
        <v>100</v>
      </c>
      <c r="AL14" s="52" t="s">
        <v>1528</v>
      </c>
      <c r="AO14" s="52" t="s">
        <v>92</v>
      </c>
      <c r="AP14" s="52" t="s">
        <v>93</v>
      </c>
      <c r="AQ14" s="52" t="s">
        <v>1529</v>
      </c>
      <c r="AT14" s="52">
        <v>-212.1131</v>
      </c>
      <c r="AU14" s="52">
        <v>186</v>
      </c>
      <c r="AX14" s="52" t="s">
        <v>76</v>
      </c>
      <c r="AY14" s="52" t="s">
        <v>1530</v>
      </c>
      <c r="BA14" s="52" t="s">
        <v>1253</v>
      </c>
      <c r="BG14" s="52">
        <v>500</v>
      </c>
      <c r="BH14" s="52">
        <v>505</v>
      </c>
      <c r="BI14" s="52" t="s">
        <v>1252</v>
      </c>
      <c r="BJ14" s="52" t="s">
        <v>1404</v>
      </c>
      <c r="BK14" s="52">
        <v>1</v>
      </c>
      <c r="CA14" s="52" t="s">
        <v>1410</v>
      </c>
      <c r="CB14" s="52" t="s">
        <v>1174</v>
      </c>
      <c r="CC14" s="52" t="s">
        <v>1174</v>
      </c>
      <c r="CD14" s="52" t="s">
        <v>1428</v>
      </c>
      <c r="CE14" s="52" t="s">
        <v>1429</v>
      </c>
      <c r="CF14" s="52" t="s">
        <v>1429</v>
      </c>
      <c r="CG14" s="52" t="s">
        <v>1429</v>
      </c>
      <c r="CH14" s="52" t="s">
        <v>1429</v>
      </c>
      <c r="CI14" s="52" t="s">
        <v>1429</v>
      </c>
      <c r="CJ14" s="52" t="s">
        <v>1429</v>
      </c>
      <c r="CK14" s="52" t="s">
        <v>1429</v>
      </c>
      <c r="CL14" s="52" t="s">
        <v>1430</v>
      </c>
      <c r="CM14" s="52" t="s">
        <v>1430</v>
      </c>
      <c r="CN14" s="52" t="s">
        <v>1429</v>
      </c>
      <c r="CO14" s="52" t="s">
        <v>833</v>
      </c>
      <c r="CP14" s="52" t="s">
        <v>1431</v>
      </c>
      <c r="CQ14" s="52" t="s">
        <v>1429</v>
      </c>
      <c r="CR14" s="52" t="s">
        <v>1432</v>
      </c>
      <c r="CS14" s="52" t="s">
        <v>1213</v>
      </c>
      <c r="CT14" s="52" t="s">
        <v>1483</v>
      </c>
      <c r="CU14" s="52" t="s">
        <v>322</v>
      </c>
      <c r="CV14" s="52">
        <v>5367</v>
      </c>
      <c r="CW14" s="52">
        <v>68531</v>
      </c>
      <c r="CX14" s="52">
        <v>461.90439999999995</v>
      </c>
      <c r="CY14" s="52">
        <v>64.39</v>
      </c>
      <c r="CZ14" s="52">
        <v>62.37</v>
      </c>
      <c r="DA14" s="52">
        <v>61.06</v>
      </c>
      <c r="DB14" s="52">
        <v>61.98</v>
      </c>
      <c r="DC14" s="52">
        <v>59.13</v>
      </c>
      <c r="DD14" s="52">
        <v>55.9</v>
      </c>
      <c r="DE14" s="52">
        <v>58.19</v>
      </c>
      <c r="DF14" s="52">
        <v>57.38</v>
      </c>
      <c r="DG14" s="52">
        <v>53.65</v>
      </c>
      <c r="DH14" s="52">
        <v>55.95</v>
      </c>
      <c r="DI14" s="52">
        <v>53.3</v>
      </c>
      <c r="DJ14" s="52">
        <v>51.88</v>
      </c>
      <c r="EA14" s="52" t="s">
        <v>1206</v>
      </c>
      <c r="EB14" s="52" t="s">
        <v>1451</v>
      </c>
      <c r="EC14" s="90" t="s">
        <v>1414</v>
      </c>
      <c r="EK14" s="52">
        <v>1106</v>
      </c>
      <c r="EL14" s="52" t="s">
        <v>204</v>
      </c>
      <c r="EM14" s="52" t="s">
        <v>1418</v>
      </c>
      <c r="EN14" s="91">
        <v>1.6E-2</v>
      </c>
      <c r="EQ14" s="91">
        <v>1.6E-2</v>
      </c>
      <c r="ER14" s="89">
        <v>61725.96</v>
      </c>
      <c r="ES14" s="89">
        <v>987.61536000000001</v>
      </c>
      <c r="ET14" s="89">
        <v>274.04000000000087</v>
      </c>
      <c r="EU14" s="89">
        <v>274.04000000000087</v>
      </c>
    </row>
    <row r="15" spans="1:151" x14ac:dyDescent="0.25">
      <c r="A15" s="52" t="s">
        <v>1531</v>
      </c>
      <c r="D15" s="52">
        <v>214777123</v>
      </c>
      <c r="E15" s="52" t="s">
        <v>1215</v>
      </c>
      <c r="G15" s="52" t="s">
        <v>1251</v>
      </c>
      <c r="H15" s="52">
        <v>91017</v>
      </c>
      <c r="I15" s="52" t="s">
        <v>1254</v>
      </c>
      <c r="J15" s="52" t="s">
        <v>1252</v>
      </c>
      <c r="K15" s="52" t="s">
        <v>1404</v>
      </c>
      <c r="L15" s="52" t="s">
        <v>1532</v>
      </c>
      <c r="M15" s="52" t="s">
        <v>1250</v>
      </c>
      <c r="O15" s="4">
        <v>42464</v>
      </c>
      <c r="P15" s="4">
        <v>42464</v>
      </c>
      <c r="R15" s="52" t="s">
        <v>74</v>
      </c>
      <c r="S15" s="89">
        <v>-150000</v>
      </c>
      <c r="T15" s="89">
        <v>-150000</v>
      </c>
      <c r="W15" s="89">
        <v>-149544</v>
      </c>
      <c r="Y15" s="52">
        <v>1</v>
      </c>
      <c r="Z15" s="52" t="s">
        <v>75</v>
      </c>
      <c r="AE15" s="52" t="s">
        <v>165</v>
      </c>
      <c r="AF15" s="52">
        <v>22.6063114939898</v>
      </c>
      <c r="AG15" s="52">
        <v>-22.609731804987</v>
      </c>
      <c r="AH15" s="52">
        <v>0</v>
      </c>
      <c r="AI15" s="52">
        <v>0</v>
      </c>
      <c r="AJ15" s="52">
        <v>-1.38133450399619</v>
      </c>
      <c r="AK15" s="52">
        <v>100</v>
      </c>
      <c r="AL15" s="52" t="s">
        <v>1533</v>
      </c>
      <c r="AO15" s="52" t="s">
        <v>92</v>
      </c>
      <c r="AP15" s="52" t="s">
        <v>93</v>
      </c>
      <c r="AQ15" s="52" t="s">
        <v>1534</v>
      </c>
      <c r="AT15" s="52">
        <v>-116.4522</v>
      </c>
      <c r="AU15" s="52">
        <v>450</v>
      </c>
      <c r="AX15" s="52" t="s">
        <v>76</v>
      </c>
      <c r="AY15" s="52" t="s">
        <v>1535</v>
      </c>
      <c r="BA15" s="52" t="s">
        <v>1253</v>
      </c>
      <c r="BG15" s="52">
        <v>500</v>
      </c>
      <c r="BH15" s="52">
        <v>505</v>
      </c>
      <c r="BI15" s="52" t="s">
        <v>1252</v>
      </c>
      <c r="BJ15" s="52" t="s">
        <v>1404</v>
      </c>
      <c r="BK15" s="52">
        <v>1</v>
      </c>
      <c r="CA15" s="52" t="s">
        <v>1410</v>
      </c>
      <c r="CB15" s="52" t="s">
        <v>1174</v>
      </c>
      <c r="CC15" s="52" t="s">
        <v>1174</v>
      </c>
      <c r="CD15" s="52" t="s">
        <v>1428</v>
      </c>
      <c r="CE15" s="52" t="s">
        <v>1429</v>
      </c>
      <c r="CF15" s="52" t="s">
        <v>1429</v>
      </c>
      <c r="CG15" s="52" t="s">
        <v>1429</v>
      </c>
      <c r="CH15" s="52" t="s">
        <v>1429</v>
      </c>
      <c r="CI15" s="52" t="s">
        <v>1429</v>
      </c>
      <c r="CJ15" s="52" t="s">
        <v>1429</v>
      </c>
      <c r="CK15" s="52" t="s">
        <v>1429</v>
      </c>
      <c r="CL15" s="52" t="s">
        <v>1430</v>
      </c>
      <c r="CM15" s="52" t="s">
        <v>1430</v>
      </c>
      <c r="CN15" s="52" t="s">
        <v>1429</v>
      </c>
      <c r="CO15" s="52" t="s">
        <v>833</v>
      </c>
      <c r="CP15" s="52" t="s">
        <v>1431</v>
      </c>
      <c r="CQ15" s="52" t="s">
        <v>1429</v>
      </c>
      <c r="CR15" s="52" t="s">
        <v>1432</v>
      </c>
      <c r="CS15" s="52" t="s">
        <v>1213</v>
      </c>
      <c r="CT15" s="52" t="s">
        <v>80</v>
      </c>
      <c r="CU15" s="52" t="s">
        <v>322</v>
      </c>
      <c r="CV15" s="52">
        <v>24302</v>
      </c>
      <c r="CW15" s="52">
        <v>519777</v>
      </c>
      <c r="CX15" s="52">
        <v>10033.9</v>
      </c>
      <c r="CY15" s="52">
        <v>25.62</v>
      </c>
      <c r="CZ15" s="52">
        <v>25.98</v>
      </c>
      <c r="DA15" s="52">
        <v>25.15</v>
      </c>
      <c r="DB15" s="52">
        <v>26.28</v>
      </c>
      <c r="DC15" s="52">
        <v>26.79</v>
      </c>
      <c r="DD15" s="52">
        <v>26.89</v>
      </c>
      <c r="DE15" s="52">
        <v>25.89</v>
      </c>
      <c r="DF15" s="52">
        <v>25.47</v>
      </c>
      <c r="DG15" s="52">
        <v>25.13</v>
      </c>
      <c r="DH15" s="52">
        <v>28.03</v>
      </c>
      <c r="DI15" s="52">
        <v>26.66</v>
      </c>
      <c r="DJ15" s="52">
        <v>26.14</v>
      </c>
      <c r="EA15" s="52" t="s">
        <v>1206</v>
      </c>
      <c r="EB15" s="52" t="s">
        <v>1451</v>
      </c>
      <c r="EC15" s="90" t="s">
        <v>1414</v>
      </c>
      <c r="EK15" s="52">
        <v>552</v>
      </c>
      <c r="EL15" s="52" t="s">
        <v>201</v>
      </c>
      <c r="EM15" s="52" t="s">
        <v>1417</v>
      </c>
      <c r="EN15" s="91">
        <v>0.01</v>
      </c>
      <c r="EQ15" s="91">
        <v>0.01</v>
      </c>
      <c r="ER15" s="89">
        <v>149544</v>
      </c>
      <c r="ES15" s="89">
        <v>1495.44</v>
      </c>
      <c r="ET15" s="89">
        <v>456</v>
      </c>
      <c r="EU15" s="89">
        <v>456</v>
      </c>
    </row>
    <row r="16" spans="1:151" x14ac:dyDescent="0.25">
      <c r="A16" s="52" t="s">
        <v>1536</v>
      </c>
      <c r="D16" s="52">
        <v>214777124</v>
      </c>
      <c r="E16" s="52" t="s">
        <v>1215</v>
      </c>
      <c r="G16" s="52" t="s">
        <v>1251</v>
      </c>
      <c r="H16" s="52">
        <v>91017</v>
      </c>
      <c r="I16" s="52" t="s">
        <v>1254</v>
      </c>
      <c r="J16" s="52" t="s">
        <v>1252</v>
      </c>
      <c r="K16" s="52" t="s">
        <v>1404</v>
      </c>
      <c r="L16" s="52" t="s">
        <v>1537</v>
      </c>
      <c r="M16" s="52" t="s">
        <v>1250</v>
      </c>
      <c r="O16" s="4">
        <v>42585</v>
      </c>
      <c r="P16" s="4">
        <v>42585</v>
      </c>
      <c r="R16" s="52" t="s">
        <v>74</v>
      </c>
      <c r="S16" s="89">
        <v>-142000</v>
      </c>
      <c r="T16" s="89">
        <v>-142000</v>
      </c>
      <c r="W16" s="89">
        <v>-140882.46</v>
      </c>
      <c r="Y16" s="52">
        <v>1</v>
      </c>
      <c r="Z16" s="52" t="s">
        <v>75</v>
      </c>
      <c r="AE16" s="52" t="s">
        <v>165</v>
      </c>
      <c r="AF16" s="52">
        <v>25.894659815996398</v>
      </c>
      <c r="AG16" s="52">
        <v>-25.899429942015601</v>
      </c>
      <c r="AH16" s="52">
        <v>0</v>
      </c>
      <c r="AI16" s="52">
        <v>0</v>
      </c>
      <c r="AJ16" s="52">
        <v>-2.89612952800235</v>
      </c>
      <c r="AK16" s="52">
        <v>100</v>
      </c>
      <c r="AL16" s="52" t="s">
        <v>1538</v>
      </c>
      <c r="AO16" s="52" t="s">
        <v>92</v>
      </c>
      <c r="AP16" s="52" t="s">
        <v>93</v>
      </c>
      <c r="AQ16" s="52" t="s">
        <v>1539</v>
      </c>
      <c r="AT16" s="52">
        <v>-167.3613</v>
      </c>
      <c r="AU16" s="52">
        <v>426</v>
      </c>
      <c r="AX16" s="52" t="s">
        <v>76</v>
      </c>
      <c r="AY16" s="52" t="s">
        <v>1540</v>
      </c>
      <c r="BA16" s="52" t="s">
        <v>1253</v>
      </c>
      <c r="BG16" s="52">
        <v>500</v>
      </c>
      <c r="BH16" s="52">
        <v>505</v>
      </c>
      <c r="BI16" s="52" t="s">
        <v>1252</v>
      </c>
      <c r="BJ16" s="52" t="s">
        <v>1404</v>
      </c>
      <c r="BK16" s="52">
        <v>1</v>
      </c>
      <c r="CA16" s="52" t="s">
        <v>1410</v>
      </c>
      <c r="CB16" s="52" t="s">
        <v>1174</v>
      </c>
      <c r="CC16" s="52" t="s">
        <v>1174</v>
      </c>
      <c r="CD16" s="52" t="s">
        <v>1428</v>
      </c>
      <c r="CE16" s="52" t="s">
        <v>1429</v>
      </c>
      <c r="CF16" s="52" t="s">
        <v>1429</v>
      </c>
      <c r="CG16" s="52" t="s">
        <v>1429</v>
      </c>
      <c r="CH16" s="52" t="s">
        <v>1429</v>
      </c>
      <c r="CI16" s="52" t="s">
        <v>1429</v>
      </c>
      <c r="CJ16" s="52" t="s">
        <v>1429</v>
      </c>
      <c r="CK16" s="52" t="s">
        <v>1429</v>
      </c>
      <c r="CL16" s="52" t="s">
        <v>1430</v>
      </c>
      <c r="CM16" s="52" t="s">
        <v>1430</v>
      </c>
      <c r="CN16" s="52" t="s">
        <v>1429</v>
      </c>
      <c r="CO16" s="52" t="s">
        <v>833</v>
      </c>
      <c r="CP16" s="52" t="s">
        <v>1431</v>
      </c>
      <c r="CQ16" s="52" t="s">
        <v>1429</v>
      </c>
      <c r="CR16" s="52" t="s">
        <v>1432</v>
      </c>
      <c r="CS16" s="52" t="s">
        <v>1213</v>
      </c>
      <c r="CT16" s="52" t="s">
        <v>80</v>
      </c>
      <c r="CU16" s="52" t="s">
        <v>322</v>
      </c>
      <c r="CV16" s="52">
        <v>24302</v>
      </c>
      <c r="CW16" s="52">
        <v>519777</v>
      </c>
      <c r="CX16" s="52">
        <v>10033.9</v>
      </c>
      <c r="CY16" s="52">
        <v>25.62</v>
      </c>
      <c r="CZ16" s="52">
        <v>25.98</v>
      </c>
      <c r="DA16" s="52">
        <v>25.15</v>
      </c>
      <c r="DB16" s="52">
        <v>26.28</v>
      </c>
      <c r="DC16" s="52">
        <v>26.79</v>
      </c>
      <c r="DD16" s="52">
        <v>26.89</v>
      </c>
      <c r="DE16" s="52">
        <v>25.89</v>
      </c>
      <c r="DF16" s="52">
        <v>25.47</v>
      </c>
      <c r="DG16" s="52">
        <v>25.13</v>
      </c>
      <c r="DH16" s="52">
        <v>28.03</v>
      </c>
      <c r="DI16" s="52">
        <v>26.66</v>
      </c>
      <c r="DJ16" s="52">
        <v>26.14</v>
      </c>
      <c r="EA16" s="52" t="s">
        <v>1206</v>
      </c>
      <c r="EB16" s="52" t="s">
        <v>1451</v>
      </c>
      <c r="EC16" s="90" t="s">
        <v>1414</v>
      </c>
      <c r="EK16" s="52">
        <v>673</v>
      </c>
      <c r="EL16" s="52" t="s">
        <v>201</v>
      </c>
      <c r="EM16" s="52" t="s">
        <v>1417</v>
      </c>
      <c r="EN16" s="91">
        <v>0.01</v>
      </c>
      <c r="EQ16" s="91">
        <v>0.01</v>
      </c>
      <c r="ER16" s="89">
        <v>140882.46</v>
      </c>
      <c r="ES16" s="89">
        <v>1408.8245999999999</v>
      </c>
      <c r="ET16" s="89">
        <v>1117.5400000000081</v>
      </c>
      <c r="EU16" s="89">
        <v>1117.5400000000081</v>
      </c>
    </row>
    <row r="17" spans="1:151" x14ac:dyDescent="0.25">
      <c r="A17" s="52" t="s">
        <v>1541</v>
      </c>
      <c r="D17" s="52">
        <v>214777125</v>
      </c>
      <c r="E17" s="52" t="s">
        <v>1215</v>
      </c>
      <c r="G17" s="52" t="s">
        <v>1251</v>
      </c>
      <c r="H17" s="52">
        <v>91017</v>
      </c>
      <c r="I17" s="52" t="s">
        <v>1254</v>
      </c>
      <c r="J17" s="52" t="s">
        <v>1252</v>
      </c>
      <c r="K17" s="52" t="s">
        <v>1404</v>
      </c>
      <c r="L17" s="52" t="s">
        <v>1537</v>
      </c>
      <c r="M17" s="52" t="s">
        <v>1250</v>
      </c>
      <c r="O17" s="4">
        <v>42828</v>
      </c>
      <c r="P17" s="4">
        <v>42828</v>
      </c>
      <c r="R17" s="52" t="s">
        <v>74</v>
      </c>
      <c r="S17" s="89">
        <v>-50000</v>
      </c>
      <c r="T17" s="89">
        <v>-50000</v>
      </c>
      <c r="W17" s="89">
        <v>-49629.5</v>
      </c>
      <c r="Y17" s="52">
        <v>1</v>
      </c>
      <c r="Z17" s="52" t="s">
        <v>75</v>
      </c>
      <c r="AE17" s="52" t="s">
        <v>165</v>
      </c>
      <c r="AF17" s="52">
        <v>12.3527551596999</v>
      </c>
      <c r="AG17" s="52">
        <v>-12.3558445821036</v>
      </c>
      <c r="AH17" s="52">
        <v>0</v>
      </c>
      <c r="AI17" s="52">
        <v>0</v>
      </c>
      <c r="AJ17" s="52">
        <v>-0.59977654230169697</v>
      </c>
      <c r="AK17" s="52">
        <v>100</v>
      </c>
      <c r="AL17" s="52" t="s">
        <v>1542</v>
      </c>
      <c r="AO17" s="52" t="s">
        <v>92</v>
      </c>
      <c r="AP17" s="52" t="s">
        <v>93</v>
      </c>
      <c r="AQ17" s="52" t="s">
        <v>1543</v>
      </c>
      <c r="AT17" s="52">
        <v>-119.9525</v>
      </c>
      <c r="AU17" s="52">
        <v>150</v>
      </c>
      <c r="AX17" s="52" t="s">
        <v>76</v>
      </c>
      <c r="AY17" s="52" t="s">
        <v>1544</v>
      </c>
      <c r="BA17" s="52" t="s">
        <v>1253</v>
      </c>
      <c r="BG17" s="52">
        <v>500</v>
      </c>
      <c r="BH17" s="52">
        <v>505</v>
      </c>
      <c r="BI17" s="52" t="s">
        <v>1252</v>
      </c>
      <c r="BJ17" s="52" t="s">
        <v>1404</v>
      </c>
      <c r="BK17" s="52">
        <v>1</v>
      </c>
      <c r="CA17" s="52" t="s">
        <v>1410</v>
      </c>
      <c r="CB17" s="52" t="s">
        <v>1174</v>
      </c>
      <c r="CC17" s="52" t="s">
        <v>1174</v>
      </c>
      <c r="CD17" s="52" t="s">
        <v>1428</v>
      </c>
      <c r="CE17" s="52" t="s">
        <v>1429</v>
      </c>
      <c r="CF17" s="52" t="s">
        <v>1429</v>
      </c>
      <c r="CG17" s="52" t="s">
        <v>1429</v>
      </c>
      <c r="CH17" s="52" t="s">
        <v>1429</v>
      </c>
      <c r="CI17" s="52" t="s">
        <v>1429</v>
      </c>
      <c r="CJ17" s="52" t="s">
        <v>1429</v>
      </c>
      <c r="CK17" s="52" t="s">
        <v>1429</v>
      </c>
      <c r="CL17" s="52" t="s">
        <v>1430</v>
      </c>
      <c r="CM17" s="52" t="s">
        <v>1430</v>
      </c>
      <c r="CN17" s="52" t="s">
        <v>1429</v>
      </c>
      <c r="CO17" s="52" t="s">
        <v>833</v>
      </c>
      <c r="CP17" s="52" t="s">
        <v>1431</v>
      </c>
      <c r="CQ17" s="52" t="s">
        <v>1429</v>
      </c>
      <c r="CR17" s="52" t="s">
        <v>1432</v>
      </c>
      <c r="CS17" s="52" t="s">
        <v>1213</v>
      </c>
      <c r="CT17" s="52" t="s">
        <v>80</v>
      </c>
      <c r="CU17" s="52" t="s">
        <v>322</v>
      </c>
      <c r="CV17" s="52">
        <v>24302</v>
      </c>
      <c r="CW17" s="52">
        <v>519777</v>
      </c>
      <c r="CX17" s="52">
        <v>10033.9</v>
      </c>
      <c r="CY17" s="52">
        <v>25.62</v>
      </c>
      <c r="CZ17" s="52">
        <v>25.98</v>
      </c>
      <c r="DA17" s="52">
        <v>25.15</v>
      </c>
      <c r="DB17" s="52">
        <v>26.28</v>
      </c>
      <c r="DC17" s="52">
        <v>26.79</v>
      </c>
      <c r="DD17" s="52">
        <v>26.89</v>
      </c>
      <c r="DE17" s="52">
        <v>25.89</v>
      </c>
      <c r="DF17" s="52">
        <v>25.47</v>
      </c>
      <c r="DG17" s="52">
        <v>25.13</v>
      </c>
      <c r="DH17" s="52">
        <v>28.03</v>
      </c>
      <c r="DI17" s="52">
        <v>26.66</v>
      </c>
      <c r="DJ17" s="52">
        <v>26.14</v>
      </c>
      <c r="EA17" s="52" t="s">
        <v>1206</v>
      </c>
      <c r="EB17" s="52" t="s">
        <v>1451</v>
      </c>
      <c r="EC17" s="90" t="s">
        <v>1414</v>
      </c>
      <c r="EK17" s="52">
        <v>916</v>
      </c>
      <c r="EL17" s="52" t="s">
        <v>204</v>
      </c>
      <c r="EM17" s="52" t="s">
        <v>1418</v>
      </c>
      <c r="EN17" s="91">
        <v>1.6E-2</v>
      </c>
      <c r="EQ17" s="91">
        <v>1.6E-2</v>
      </c>
      <c r="ER17" s="89">
        <v>49629.5</v>
      </c>
      <c r="ES17" s="89">
        <v>794.072</v>
      </c>
      <c r="ET17" s="89">
        <v>370.5</v>
      </c>
      <c r="EU17" s="89">
        <v>370.5</v>
      </c>
    </row>
    <row r="18" spans="1:151" x14ac:dyDescent="0.25">
      <c r="A18" s="52" t="s">
        <v>1545</v>
      </c>
      <c r="D18" s="52">
        <v>214777126</v>
      </c>
      <c r="E18" s="52" t="s">
        <v>1215</v>
      </c>
      <c r="G18" s="52" t="s">
        <v>1251</v>
      </c>
      <c r="H18" s="52">
        <v>91017</v>
      </c>
      <c r="I18" s="52" t="s">
        <v>1254</v>
      </c>
      <c r="J18" s="52" t="s">
        <v>1252</v>
      </c>
      <c r="K18" s="52" t="s">
        <v>1404</v>
      </c>
      <c r="L18" s="52" t="s">
        <v>1537</v>
      </c>
      <c r="M18" s="52" t="s">
        <v>1250</v>
      </c>
      <c r="O18" s="4">
        <v>43011</v>
      </c>
      <c r="P18" s="4">
        <v>43011</v>
      </c>
      <c r="R18" s="52" t="s">
        <v>74</v>
      </c>
      <c r="S18" s="89">
        <v>-142000</v>
      </c>
      <c r="T18" s="89">
        <v>-142000</v>
      </c>
      <c r="W18" s="89">
        <v>-140828.5</v>
      </c>
      <c r="Y18" s="52">
        <v>1</v>
      </c>
      <c r="Z18" s="52" t="s">
        <v>75</v>
      </c>
      <c r="AE18" s="52" t="s">
        <v>165</v>
      </c>
      <c r="AF18" s="52">
        <v>41.821772025024998</v>
      </c>
      <c r="AG18" s="52">
        <v>-41.8342954379914</v>
      </c>
      <c r="AH18" s="52">
        <v>0</v>
      </c>
      <c r="AI18" s="52">
        <v>0</v>
      </c>
      <c r="AJ18" s="52">
        <v>-1.87566595099634</v>
      </c>
      <c r="AK18" s="52">
        <v>100</v>
      </c>
      <c r="AL18" s="52" t="s">
        <v>1546</v>
      </c>
      <c r="AO18" s="52" t="s">
        <v>92</v>
      </c>
      <c r="AP18" s="52" t="s">
        <v>93</v>
      </c>
      <c r="AQ18" s="52" t="s">
        <v>1547</v>
      </c>
      <c r="AT18" s="52">
        <v>-478.71100000000001</v>
      </c>
      <c r="AU18" s="52">
        <v>426</v>
      </c>
      <c r="AX18" s="52" t="s">
        <v>76</v>
      </c>
      <c r="AY18" s="52" t="s">
        <v>1548</v>
      </c>
      <c r="BA18" s="52" t="s">
        <v>1253</v>
      </c>
      <c r="BG18" s="52">
        <v>500</v>
      </c>
      <c r="BH18" s="52">
        <v>505</v>
      </c>
      <c r="BI18" s="52" t="s">
        <v>1252</v>
      </c>
      <c r="BJ18" s="52" t="s">
        <v>1404</v>
      </c>
      <c r="BK18" s="52">
        <v>1</v>
      </c>
      <c r="CA18" s="52" t="s">
        <v>1410</v>
      </c>
      <c r="CB18" s="52" t="s">
        <v>1174</v>
      </c>
      <c r="CC18" s="52" t="s">
        <v>1174</v>
      </c>
      <c r="CD18" s="52" t="s">
        <v>1428</v>
      </c>
      <c r="CE18" s="52" t="s">
        <v>1429</v>
      </c>
      <c r="CF18" s="52" t="s">
        <v>1429</v>
      </c>
      <c r="CG18" s="52" t="s">
        <v>1429</v>
      </c>
      <c r="CH18" s="52" t="s">
        <v>1429</v>
      </c>
      <c r="CI18" s="52" t="s">
        <v>1429</v>
      </c>
      <c r="CJ18" s="52" t="s">
        <v>1429</v>
      </c>
      <c r="CK18" s="52" t="s">
        <v>1429</v>
      </c>
      <c r="CL18" s="52" t="s">
        <v>1430</v>
      </c>
      <c r="CM18" s="52" t="s">
        <v>1430</v>
      </c>
      <c r="CN18" s="52" t="s">
        <v>1429</v>
      </c>
      <c r="CO18" s="52" t="s">
        <v>833</v>
      </c>
      <c r="CP18" s="52" t="s">
        <v>1431</v>
      </c>
      <c r="CQ18" s="52" t="s">
        <v>1429</v>
      </c>
      <c r="CR18" s="52" t="s">
        <v>1432</v>
      </c>
      <c r="CS18" s="52" t="s">
        <v>1213</v>
      </c>
      <c r="CT18" s="52" t="s">
        <v>80</v>
      </c>
      <c r="CU18" s="52" t="s">
        <v>322</v>
      </c>
      <c r="CV18" s="52">
        <v>24302</v>
      </c>
      <c r="CW18" s="52">
        <v>519777</v>
      </c>
      <c r="CX18" s="52">
        <v>10033.9</v>
      </c>
      <c r="CY18" s="52">
        <v>25.62</v>
      </c>
      <c r="CZ18" s="52">
        <v>25.98</v>
      </c>
      <c r="DA18" s="52">
        <v>25.15</v>
      </c>
      <c r="DB18" s="52">
        <v>26.28</v>
      </c>
      <c r="DC18" s="52">
        <v>26.79</v>
      </c>
      <c r="DD18" s="52">
        <v>26.89</v>
      </c>
      <c r="DE18" s="52">
        <v>25.89</v>
      </c>
      <c r="DF18" s="52">
        <v>25.47</v>
      </c>
      <c r="DG18" s="52">
        <v>25.13</v>
      </c>
      <c r="DH18" s="52">
        <v>28.03</v>
      </c>
      <c r="DI18" s="52">
        <v>26.66</v>
      </c>
      <c r="DJ18" s="52">
        <v>26.14</v>
      </c>
      <c r="EA18" s="52" t="s">
        <v>1206</v>
      </c>
      <c r="EB18" s="52" t="s">
        <v>1451</v>
      </c>
      <c r="EC18" s="90" t="s">
        <v>1414</v>
      </c>
      <c r="EK18" s="52">
        <v>1099</v>
      </c>
      <c r="EL18" s="52" t="s">
        <v>204</v>
      </c>
      <c r="EM18" s="52" t="s">
        <v>1418</v>
      </c>
      <c r="EN18" s="91">
        <v>1.6E-2</v>
      </c>
      <c r="EQ18" s="91">
        <v>1.6E-2</v>
      </c>
      <c r="ER18" s="89">
        <v>140828.5</v>
      </c>
      <c r="ES18" s="89">
        <v>2253.2559999999999</v>
      </c>
      <c r="ET18" s="89">
        <v>1171.5</v>
      </c>
      <c r="EU18" s="89">
        <v>1171.5</v>
      </c>
    </row>
    <row r="19" spans="1:151" x14ac:dyDescent="0.25">
      <c r="A19" s="52" t="s">
        <v>1549</v>
      </c>
      <c r="D19" s="52">
        <v>214777127</v>
      </c>
      <c r="E19" s="52" t="s">
        <v>1215</v>
      </c>
      <c r="G19" s="52" t="s">
        <v>1251</v>
      </c>
      <c r="H19" s="52">
        <v>91017</v>
      </c>
      <c r="I19" s="52" t="s">
        <v>1254</v>
      </c>
      <c r="J19" s="52" t="s">
        <v>1252</v>
      </c>
      <c r="K19" s="52" t="s">
        <v>1404</v>
      </c>
      <c r="L19" s="52" t="s">
        <v>1550</v>
      </c>
      <c r="M19" s="52" t="s">
        <v>1250</v>
      </c>
      <c r="O19" s="4">
        <v>43376</v>
      </c>
      <c r="P19" s="4">
        <v>43376</v>
      </c>
      <c r="R19" s="52" t="s">
        <v>74</v>
      </c>
      <c r="S19" s="89">
        <v>-74000</v>
      </c>
      <c r="T19" s="89">
        <v>-74000</v>
      </c>
      <c r="W19" s="89">
        <v>-73228.179999999993</v>
      </c>
      <c r="Y19" s="52">
        <v>1</v>
      </c>
      <c r="Z19" s="52" t="s">
        <v>75</v>
      </c>
      <c r="AE19" s="52" t="s">
        <v>165</v>
      </c>
      <c r="AF19" s="52">
        <v>28.554992196790401</v>
      </c>
      <c r="AG19" s="52">
        <v>-28.566317135206202</v>
      </c>
      <c r="AH19" s="52">
        <v>0</v>
      </c>
      <c r="AI19" s="52">
        <v>0</v>
      </c>
      <c r="AJ19" s="52">
        <v>-1.10064248389972</v>
      </c>
      <c r="AK19" s="52">
        <v>100</v>
      </c>
      <c r="AL19" s="52" t="s">
        <v>1551</v>
      </c>
      <c r="AO19" s="52" t="s">
        <v>92</v>
      </c>
      <c r="AP19" s="52" t="s">
        <v>93</v>
      </c>
      <c r="AQ19" s="52" t="s">
        <v>1552</v>
      </c>
      <c r="AT19" s="52">
        <v>-392.52710000000002</v>
      </c>
      <c r="AU19" s="52">
        <v>222</v>
      </c>
      <c r="AX19" s="52" t="s">
        <v>76</v>
      </c>
      <c r="AY19" s="52" t="s">
        <v>1553</v>
      </c>
      <c r="BA19" s="52" t="s">
        <v>1253</v>
      </c>
      <c r="BG19" s="52">
        <v>500</v>
      </c>
      <c r="BH19" s="52">
        <v>505</v>
      </c>
      <c r="BI19" s="52" t="s">
        <v>1252</v>
      </c>
      <c r="BJ19" s="52" t="s">
        <v>1404</v>
      </c>
      <c r="BK19" s="52">
        <v>1</v>
      </c>
      <c r="CA19" s="52" t="s">
        <v>1410</v>
      </c>
      <c r="CB19" s="52" t="s">
        <v>1174</v>
      </c>
      <c r="CC19" s="52" t="s">
        <v>1174</v>
      </c>
      <c r="CD19" s="52" t="s">
        <v>1428</v>
      </c>
      <c r="CE19" s="52" t="s">
        <v>1429</v>
      </c>
      <c r="CF19" s="52" t="s">
        <v>1429</v>
      </c>
      <c r="CG19" s="52" t="s">
        <v>1429</v>
      </c>
      <c r="CH19" s="52" t="s">
        <v>1429</v>
      </c>
      <c r="CI19" s="52" t="s">
        <v>1429</v>
      </c>
      <c r="CJ19" s="52" t="s">
        <v>1429</v>
      </c>
      <c r="CK19" s="52" t="s">
        <v>1429</v>
      </c>
      <c r="CL19" s="52" t="s">
        <v>1430</v>
      </c>
      <c r="CM19" s="52" t="s">
        <v>1430</v>
      </c>
      <c r="CN19" s="52" t="s">
        <v>1429</v>
      </c>
      <c r="CO19" s="52" t="s">
        <v>833</v>
      </c>
      <c r="CP19" s="52" t="s">
        <v>1431</v>
      </c>
      <c r="CQ19" s="52" t="s">
        <v>1429</v>
      </c>
      <c r="CR19" s="52" t="s">
        <v>1432</v>
      </c>
      <c r="CS19" s="52" t="s">
        <v>1213</v>
      </c>
      <c r="CT19" s="52" t="s">
        <v>80</v>
      </c>
      <c r="CU19" s="52" t="s">
        <v>322</v>
      </c>
      <c r="CV19" s="52">
        <v>24302</v>
      </c>
      <c r="CW19" s="52">
        <v>519777</v>
      </c>
      <c r="CX19" s="52">
        <v>10033.9</v>
      </c>
      <c r="CY19" s="52">
        <v>25.62</v>
      </c>
      <c r="CZ19" s="52">
        <v>25.98</v>
      </c>
      <c r="DA19" s="52">
        <v>25.15</v>
      </c>
      <c r="DB19" s="52">
        <v>26.28</v>
      </c>
      <c r="DC19" s="52">
        <v>26.79</v>
      </c>
      <c r="DD19" s="52">
        <v>26.89</v>
      </c>
      <c r="DE19" s="52">
        <v>25.89</v>
      </c>
      <c r="DF19" s="52">
        <v>25.47</v>
      </c>
      <c r="DG19" s="52">
        <v>25.13</v>
      </c>
      <c r="DH19" s="52">
        <v>28.03</v>
      </c>
      <c r="DI19" s="52">
        <v>26.66</v>
      </c>
      <c r="DJ19" s="52">
        <v>26.14</v>
      </c>
      <c r="EA19" s="52" t="s">
        <v>1206</v>
      </c>
      <c r="EB19" s="52" t="s">
        <v>1451</v>
      </c>
      <c r="EC19" s="90" t="s">
        <v>1414</v>
      </c>
      <c r="EK19" s="52">
        <v>1464</v>
      </c>
      <c r="EL19" s="52" t="s">
        <v>204</v>
      </c>
      <c r="EM19" s="52" t="s">
        <v>1418</v>
      </c>
      <c r="EN19" s="91">
        <v>1.6E-2</v>
      </c>
      <c r="EQ19" s="91">
        <v>1.6E-2</v>
      </c>
      <c r="ER19" s="89">
        <v>73228.179999999993</v>
      </c>
      <c r="ES19" s="89">
        <v>1171.6508799999999</v>
      </c>
      <c r="ET19" s="89">
        <v>771.82000000000698</v>
      </c>
      <c r="EU19" s="89">
        <v>771.82000000000698</v>
      </c>
    </row>
    <row r="20" spans="1:151" x14ac:dyDescent="0.25">
      <c r="A20" s="52" t="s">
        <v>1554</v>
      </c>
      <c r="D20" s="52">
        <v>214777128</v>
      </c>
      <c r="E20" s="52" t="s">
        <v>1215</v>
      </c>
      <c r="G20" s="52" t="s">
        <v>1251</v>
      </c>
      <c r="H20" s="52">
        <v>91017</v>
      </c>
      <c r="I20" s="52" t="s">
        <v>1254</v>
      </c>
      <c r="J20" s="52" t="s">
        <v>1252</v>
      </c>
      <c r="K20" s="52" t="s">
        <v>1404</v>
      </c>
      <c r="L20" s="52" t="s">
        <v>1426</v>
      </c>
      <c r="M20" s="52" t="s">
        <v>1250</v>
      </c>
      <c r="O20" s="4">
        <v>43382</v>
      </c>
      <c r="P20" s="4">
        <v>43382</v>
      </c>
      <c r="R20" s="52" t="s">
        <v>74</v>
      </c>
      <c r="S20" s="89">
        <v>-50000</v>
      </c>
      <c r="T20" s="89">
        <v>-50000</v>
      </c>
      <c r="W20" s="89">
        <v>-49713</v>
      </c>
      <c r="Y20" s="52">
        <v>1</v>
      </c>
      <c r="Z20" s="52" t="s">
        <v>75</v>
      </c>
      <c r="AE20" s="52" t="s">
        <v>165</v>
      </c>
      <c r="AF20" s="52">
        <v>19.496495129002099</v>
      </c>
      <c r="AG20" s="52">
        <v>-19.504264046299799</v>
      </c>
      <c r="AH20" s="52">
        <v>0</v>
      </c>
      <c r="AI20" s="52">
        <v>0</v>
      </c>
      <c r="AJ20" s="52">
        <v>-0.42923323539434899</v>
      </c>
      <c r="AK20" s="52">
        <v>100</v>
      </c>
      <c r="AL20" s="52" t="s">
        <v>1555</v>
      </c>
      <c r="AO20" s="52" t="s">
        <v>92</v>
      </c>
      <c r="AP20" s="52" t="s">
        <v>93</v>
      </c>
      <c r="AQ20" s="52" t="s">
        <v>1556</v>
      </c>
      <c r="AT20" s="52">
        <v>-270.48750000000001</v>
      </c>
      <c r="AU20" s="52">
        <v>150</v>
      </c>
      <c r="AX20" s="52" t="s">
        <v>76</v>
      </c>
      <c r="AY20" s="52" t="s">
        <v>1557</v>
      </c>
      <c r="BA20" s="52" t="s">
        <v>1253</v>
      </c>
      <c r="BG20" s="52">
        <v>500</v>
      </c>
      <c r="BH20" s="52">
        <v>505</v>
      </c>
      <c r="BI20" s="52" t="s">
        <v>1252</v>
      </c>
      <c r="BJ20" s="52" t="s">
        <v>1404</v>
      </c>
      <c r="BK20" s="52">
        <v>1</v>
      </c>
      <c r="CA20" s="52" t="s">
        <v>1410</v>
      </c>
      <c r="CB20" s="52" t="s">
        <v>1174</v>
      </c>
      <c r="CC20" s="52" t="s">
        <v>1174</v>
      </c>
      <c r="CD20" s="52" t="s">
        <v>1428</v>
      </c>
      <c r="CE20" s="52" t="s">
        <v>1429</v>
      </c>
      <c r="CF20" s="52" t="s">
        <v>1429</v>
      </c>
      <c r="CG20" s="52" t="s">
        <v>1429</v>
      </c>
      <c r="CH20" s="52" t="s">
        <v>1429</v>
      </c>
      <c r="CI20" s="52" t="s">
        <v>1429</v>
      </c>
      <c r="CJ20" s="52" t="s">
        <v>1429</v>
      </c>
      <c r="CK20" s="52" t="s">
        <v>1429</v>
      </c>
      <c r="CL20" s="52" t="s">
        <v>1430</v>
      </c>
      <c r="CM20" s="52" t="s">
        <v>1430</v>
      </c>
      <c r="CN20" s="52" t="s">
        <v>1429</v>
      </c>
      <c r="CO20" s="52" t="s">
        <v>833</v>
      </c>
      <c r="CP20" s="52" t="s">
        <v>1431</v>
      </c>
      <c r="CQ20" s="52" t="s">
        <v>1429</v>
      </c>
      <c r="CR20" s="52" t="s">
        <v>1432</v>
      </c>
      <c r="CS20" s="52" t="s">
        <v>1213</v>
      </c>
      <c r="CT20" s="52" t="s">
        <v>81</v>
      </c>
      <c r="CU20" s="52" t="s">
        <v>322</v>
      </c>
      <c r="CV20" s="52">
        <v>19283</v>
      </c>
      <c r="CW20" s="52">
        <v>832714</v>
      </c>
      <c r="CX20" s="52">
        <v>440.57989999999995</v>
      </c>
      <c r="CY20" s="52">
        <v>183.57</v>
      </c>
      <c r="CZ20" s="52">
        <v>179.11</v>
      </c>
      <c r="DA20" s="52">
        <v>172.87</v>
      </c>
      <c r="DB20" s="52">
        <v>167.44</v>
      </c>
      <c r="DC20" s="52">
        <v>159.81</v>
      </c>
      <c r="DD20" s="52">
        <v>159.82</v>
      </c>
      <c r="DE20" s="52">
        <v>163.85</v>
      </c>
      <c r="DF20" s="52">
        <v>166.45</v>
      </c>
      <c r="DG20" s="52">
        <v>164.12</v>
      </c>
      <c r="DH20" s="52">
        <v>177.26</v>
      </c>
      <c r="DI20" s="52">
        <v>168.94</v>
      </c>
      <c r="DJ20" s="52">
        <v>160.86000000000001</v>
      </c>
      <c r="EA20" s="52" t="s">
        <v>1206</v>
      </c>
      <c r="EB20" s="52" t="s">
        <v>1451</v>
      </c>
      <c r="EC20" s="90" t="s">
        <v>1414</v>
      </c>
      <c r="EK20" s="52">
        <v>1470</v>
      </c>
      <c r="EL20" s="52" t="s">
        <v>204</v>
      </c>
      <c r="EM20" s="52" t="s">
        <v>1418</v>
      </c>
      <c r="EN20" s="91">
        <v>1.6E-2</v>
      </c>
      <c r="EQ20" s="91">
        <v>1.6E-2</v>
      </c>
      <c r="ER20" s="89">
        <v>49713</v>
      </c>
      <c r="ES20" s="89">
        <v>795.40800000000002</v>
      </c>
      <c r="ET20" s="89">
        <v>287</v>
      </c>
      <c r="EU20" s="89">
        <v>287</v>
      </c>
    </row>
    <row r="21" spans="1:151" x14ac:dyDescent="0.25">
      <c r="A21" s="52" t="s">
        <v>1558</v>
      </c>
      <c r="D21" s="52">
        <v>214777129</v>
      </c>
      <c r="E21" s="52" t="s">
        <v>1215</v>
      </c>
      <c r="G21" s="52" t="s">
        <v>1251</v>
      </c>
      <c r="H21" s="52">
        <v>91017</v>
      </c>
      <c r="I21" s="52" t="s">
        <v>1254</v>
      </c>
      <c r="J21" s="52" t="s">
        <v>1252</v>
      </c>
      <c r="K21" s="52" t="s">
        <v>1404</v>
      </c>
      <c r="L21" s="52" t="s">
        <v>1426</v>
      </c>
      <c r="M21" s="52" t="s">
        <v>1250</v>
      </c>
      <c r="O21" s="4">
        <v>42654</v>
      </c>
      <c r="P21" s="4">
        <v>42654</v>
      </c>
      <c r="R21" s="52" t="s">
        <v>74</v>
      </c>
      <c r="S21" s="89">
        <v>-145000</v>
      </c>
      <c r="T21" s="89">
        <v>-145000</v>
      </c>
      <c r="W21" s="89">
        <v>-144694.92000000001</v>
      </c>
      <c r="Y21" s="52">
        <v>1</v>
      </c>
      <c r="Z21" s="52" t="s">
        <v>75</v>
      </c>
      <c r="AE21" s="52" t="s">
        <v>165</v>
      </c>
      <c r="AF21" s="52">
        <v>29.3045479360153</v>
      </c>
      <c r="AG21" s="52">
        <v>-29.310498740989701</v>
      </c>
      <c r="AH21" s="52">
        <v>0</v>
      </c>
      <c r="AI21" s="52">
        <v>0</v>
      </c>
      <c r="AJ21" s="52">
        <v>-1.2937230909883499</v>
      </c>
      <c r="AK21" s="52">
        <v>100</v>
      </c>
      <c r="AL21" s="52" t="s">
        <v>1559</v>
      </c>
      <c r="AO21" s="52" t="s">
        <v>92</v>
      </c>
      <c r="AP21" s="52" t="s">
        <v>93</v>
      </c>
      <c r="AQ21" s="52" t="s">
        <v>1560</v>
      </c>
      <c r="AT21" s="52">
        <v>-209.57980000000001</v>
      </c>
      <c r="AU21" s="52">
        <v>435</v>
      </c>
      <c r="AX21" s="52" t="s">
        <v>76</v>
      </c>
      <c r="AY21" s="52" t="s">
        <v>1561</v>
      </c>
      <c r="BA21" s="52" t="s">
        <v>1253</v>
      </c>
      <c r="BG21" s="52">
        <v>500</v>
      </c>
      <c r="BH21" s="52">
        <v>505</v>
      </c>
      <c r="BI21" s="52" t="s">
        <v>1252</v>
      </c>
      <c r="BJ21" s="52" t="s">
        <v>1404</v>
      </c>
      <c r="BK21" s="52">
        <v>1</v>
      </c>
      <c r="CA21" s="52" t="s">
        <v>1410</v>
      </c>
      <c r="CB21" s="52" t="s">
        <v>1174</v>
      </c>
      <c r="CC21" s="52" t="s">
        <v>1174</v>
      </c>
      <c r="CD21" s="52" t="s">
        <v>1428</v>
      </c>
      <c r="CE21" s="52" t="s">
        <v>1429</v>
      </c>
      <c r="CF21" s="52" t="s">
        <v>1429</v>
      </c>
      <c r="CG21" s="52" t="s">
        <v>1429</v>
      </c>
      <c r="CH21" s="52" t="s">
        <v>1429</v>
      </c>
      <c r="CI21" s="52" t="s">
        <v>1429</v>
      </c>
      <c r="CJ21" s="52" t="s">
        <v>1429</v>
      </c>
      <c r="CK21" s="52" t="s">
        <v>1429</v>
      </c>
      <c r="CL21" s="52" t="s">
        <v>1430</v>
      </c>
      <c r="CM21" s="52" t="s">
        <v>1430</v>
      </c>
      <c r="CN21" s="52" t="s">
        <v>1429</v>
      </c>
      <c r="CO21" s="52" t="s">
        <v>833</v>
      </c>
      <c r="CP21" s="52" t="s">
        <v>1431</v>
      </c>
      <c r="CQ21" s="52" t="s">
        <v>1429</v>
      </c>
      <c r="CR21" s="52" t="s">
        <v>1432</v>
      </c>
      <c r="CS21" s="52" t="s">
        <v>1213</v>
      </c>
      <c r="CT21" s="52" t="s">
        <v>81</v>
      </c>
      <c r="CU21" s="52" t="s">
        <v>322</v>
      </c>
      <c r="CV21" s="52">
        <v>19283</v>
      </c>
      <c r="CW21" s="52">
        <v>832714</v>
      </c>
      <c r="CX21" s="52">
        <v>440.57989999999995</v>
      </c>
      <c r="CY21" s="52">
        <v>183.57</v>
      </c>
      <c r="CZ21" s="52">
        <v>179.11</v>
      </c>
      <c r="DA21" s="52">
        <v>172.87</v>
      </c>
      <c r="DB21" s="52">
        <v>167.44</v>
      </c>
      <c r="DC21" s="52">
        <v>159.81</v>
      </c>
      <c r="DD21" s="52">
        <v>159.82</v>
      </c>
      <c r="DE21" s="52">
        <v>163.85</v>
      </c>
      <c r="DF21" s="52">
        <v>166.45</v>
      </c>
      <c r="DG21" s="52">
        <v>164.12</v>
      </c>
      <c r="DH21" s="52">
        <v>177.26</v>
      </c>
      <c r="DI21" s="52">
        <v>168.94</v>
      </c>
      <c r="DJ21" s="52">
        <v>160.86000000000001</v>
      </c>
      <c r="EA21" s="52" t="s">
        <v>1206</v>
      </c>
      <c r="EB21" s="52" t="s">
        <v>1451</v>
      </c>
      <c r="EC21" s="90" t="s">
        <v>1414</v>
      </c>
      <c r="EK21" s="52">
        <v>742</v>
      </c>
      <c r="EL21" s="52" t="s">
        <v>204</v>
      </c>
      <c r="EM21" s="52" t="s">
        <v>1418</v>
      </c>
      <c r="EN21" s="91">
        <v>1.6E-2</v>
      </c>
      <c r="EQ21" s="91">
        <v>1.6E-2</v>
      </c>
      <c r="ER21" s="89">
        <v>144694.92000000001</v>
      </c>
      <c r="ES21" s="89">
        <v>2315.1187200000004</v>
      </c>
      <c r="ET21" s="89">
        <v>305.07999999998719</v>
      </c>
      <c r="EU21" s="89">
        <v>305.07999999998719</v>
      </c>
    </row>
    <row r="22" spans="1:151" x14ac:dyDescent="0.25">
      <c r="A22" s="52" t="s">
        <v>1562</v>
      </c>
      <c r="D22" s="52">
        <v>214777130</v>
      </c>
      <c r="E22" s="52" t="s">
        <v>1215</v>
      </c>
      <c r="G22" s="52" t="s">
        <v>1251</v>
      </c>
      <c r="H22" s="52">
        <v>91017</v>
      </c>
      <c r="I22" s="52" t="s">
        <v>1254</v>
      </c>
      <c r="J22" s="52" t="s">
        <v>1252</v>
      </c>
      <c r="K22" s="52" t="s">
        <v>1404</v>
      </c>
      <c r="L22" s="52" t="s">
        <v>1426</v>
      </c>
      <c r="M22" s="52" t="s">
        <v>1250</v>
      </c>
      <c r="O22" s="4">
        <v>43018</v>
      </c>
      <c r="P22" s="4">
        <v>43018</v>
      </c>
      <c r="R22" s="52" t="s">
        <v>74</v>
      </c>
      <c r="S22" s="89">
        <v>-25000</v>
      </c>
      <c r="T22" s="89">
        <v>-25000</v>
      </c>
      <c r="W22" s="89">
        <v>-24891.601500000001</v>
      </c>
      <c r="Y22" s="52">
        <v>1</v>
      </c>
      <c r="Z22" s="52" t="s">
        <v>75</v>
      </c>
      <c r="AE22" s="52" t="s">
        <v>165</v>
      </c>
      <c r="AF22" s="52">
        <v>7.43951825760087</v>
      </c>
      <c r="AG22" s="52">
        <v>-7.4417601481982301</v>
      </c>
      <c r="AH22" s="52">
        <v>0</v>
      </c>
      <c r="AI22" s="52">
        <v>0</v>
      </c>
      <c r="AJ22" s="52">
        <v>-0.23003584770049201</v>
      </c>
      <c r="AK22" s="52">
        <v>100</v>
      </c>
      <c r="AL22" s="52" t="s">
        <v>1563</v>
      </c>
      <c r="AO22" s="52" t="s">
        <v>92</v>
      </c>
      <c r="AP22" s="52" t="s">
        <v>93</v>
      </c>
      <c r="AQ22" s="52" t="s">
        <v>1564</v>
      </c>
      <c r="AT22" s="52">
        <v>-85.536799999999999</v>
      </c>
      <c r="AU22" s="52">
        <v>75</v>
      </c>
      <c r="AX22" s="52" t="s">
        <v>76</v>
      </c>
      <c r="AY22" s="52" t="s">
        <v>1565</v>
      </c>
      <c r="BA22" s="52" t="s">
        <v>1253</v>
      </c>
      <c r="BG22" s="52">
        <v>500</v>
      </c>
      <c r="BH22" s="52">
        <v>505</v>
      </c>
      <c r="BI22" s="52" t="s">
        <v>1252</v>
      </c>
      <c r="BJ22" s="52" t="s">
        <v>1404</v>
      </c>
      <c r="BK22" s="52">
        <v>1</v>
      </c>
      <c r="CA22" s="52" t="s">
        <v>1410</v>
      </c>
      <c r="CB22" s="52" t="s">
        <v>1174</v>
      </c>
      <c r="CC22" s="52" t="s">
        <v>1174</v>
      </c>
      <c r="CD22" s="52" t="s">
        <v>1428</v>
      </c>
      <c r="CE22" s="52" t="s">
        <v>1429</v>
      </c>
      <c r="CF22" s="52" t="s">
        <v>1429</v>
      </c>
      <c r="CG22" s="52" t="s">
        <v>1429</v>
      </c>
      <c r="CH22" s="52" t="s">
        <v>1429</v>
      </c>
      <c r="CI22" s="52" t="s">
        <v>1429</v>
      </c>
      <c r="CJ22" s="52" t="s">
        <v>1429</v>
      </c>
      <c r="CK22" s="52" t="s">
        <v>1429</v>
      </c>
      <c r="CL22" s="52" t="s">
        <v>1430</v>
      </c>
      <c r="CM22" s="52" t="s">
        <v>1430</v>
      </c>
      <c r="CN22" s="52" t="s">
        <v>1429</v>
      </c>
      <c r="CO22" s="52" t="s">
        <v>833</v>
      </c>
      <c r="CP22" s="52" t="s">
        <v>1431</v>
      </c>
      <c r="CQ22" s="52" t="s">
        <v>1429</v>
      </c>
      <c r="CR22" s="52" t="s">
        <v>1432</v>
      </c>
      <c r="CS22" s="52" t="s">
        <v>1213</v>
      </c>
      <c r="CT22" s="52" t="s">
        <v>81</v>
      </c>
      <c r="CU22" s="52" t="s">
        <v>322</v>
      </c>
      <c r="CV22" s="52">
        <v>19283</v>
      </c>
      <c r="CW22" s="52">
        <v>832714</v>
      </c>
      <c r="CX22" s="52">
        <v>440.57989999999995</v>
      </c>
      <c r="CY22" s="52">
        <v>183.57</v>
      </c>
      <c r="CZ22" s="52">
        <v>179.11</v>
      </c>
      <c r="DA22" s="52">
        <v>172.87</v>
      </c>
      <c r="DB22" s="52">
        <v>167.44</v>
      </c>
      <c r="DC22" s="52">
        <v>159.81</v>
      </c>
      <c r="DD22" s="52">
        <v>159.82</v>
      </c>
      <c r="DE22" s="52">
        <v>163.85</v>
      </c>
      <c r="DF22" s="52">
        <v>166.45</v>
      </c>
      <c r="DG22" s="52">
        <v>164.12</v>
      </c>
      <c r="DH22" s="52">
        <v>177.26</v>
      </c>
      <c r="DI22" s="52">
        <v>168.94</v>
      </c>
      <c r="DJ22" s="52">
        <v>160.86000000000001</v>
      </c>
      <c r="EA22" s="52" t="s">
        <v>1206</v>
      </c>
      <c r="EB22" s="52" t="s">
        <v>1451</v>
      </c>
      <c r="EC22" s="90" t="s">
        <v>1414</v>
      </c>
      <c r="EK22" s="52">
        <v>1106</v>
      </c>
      <c r="EL22" s="52" t="s">
        <v>204</v>
      </c>
      <c r="EM22" s="52" t="s">
        <v>1418</v>
      </c>
      <c r="EN22" s="91">
        <v>1.6E-2</v>
      </c>
      <c r="EQ22" s="91">
        <v>1.6E-2</v>
      </c>
      <c r="ER22" s="89">
        <v>24891.601500000001</v>
      </c>
      <c r="ES22" s="89">
        <v>398.265624</v>
      </c>
      <c r="ET22" s="89">
        <v>108.39849999999933</v>
      </c>
      <c r="EU22" s="89">
        <v>108.39849999999933</v>
      </c>
    </row>
    <row r="23" spans="1:151" x14ac:dyDescent="0.25">
      <c r="A23" s="52" t="s">
        <v>1566</v>
      </c>
      <c r="D23" s="52">
        <v>214777132</v>
      </c>
      <c r="E23" s="52" t="s">
        <v>1215</v>
      </c>
      <c r="G23" s="52" t="s">
        <v>1251</v>
      </c>
      <c r="H23" s="52">
        <v>91017</v>
      </c>
      <c r="I23" s="52" t="s">
        <v>1254</v>
      </c>
      <c r="J23" s="52" t="s">
        <v>1252</v>
      </c>
      <c r="K23" s="52" t="s">
        <v>1404</v>
      </c>
      <c r="L23" s="52" t="s">
        <v>1426</v>
      </c>
      <c r="M23" s="52" t="s">
        <v>1250</v>
      </c>
      <c r="O23" s="4">
        <v>43746</v>
      </c>
      <c r="P23" s="4">
        <v>43746</v>
      </c>
      <c r="R23" s="52" t="s">
        <v>74</v>
      </c>
      <c r="S23" s="89">
        <v>-131000</v>
      </c>
      <c r="T23" s="89">
        <v>-131000</v>
      </c>
      <c r="W23" s="89">
        <v>-129989.859</v>
      </c>
      <c r="Y23" s="52">
        <v>1</v>
      </c>
      <c r="Z23" s="52" t="s">
        <v>75</v>
      </c>
      <c r="AE23" s="52" t="s">
        <v>165</v>
      </c>
      <c r="AF23" s="52">
        <v>62.579194065998301</v>
      </c>
      <c r="AG23" s="52">
        <v>-62.610111019996097</v>
      </c>
      <c r="AH23" s="52">
        <v>0</v>
      </c>
      <c r="AI23" s="52">
        <v>0</v>
      </c>
      <c r="AJ23" s="52">
        <v>-1.52957195600902</v>
      </c>
      <c r="AK23" s="52">
        <v>100</v>
      </c>
      <c r="AL23" s="52" t="s">
        <v>1567</v>
      </c>
      <c r="AO23" s="52" t="s">
        <v>92</v>
      </c>
      <c r="AP23" s="52" t="s">
        <v>93</v>
      </c>
      <c r="AQ23" s="52" t="s">
        <v>1568</v>
      </c>
      <c r="AT23" s="52">
        <v>-805.66129999999998</v>
      </c>
      <c r="AU23" s="52">
        <v>393</v>
      </c>
      <c r="AX23" s="52" t="s">
        <v>76</v>
      </c>
      <c r="AY23" s="52" t="s">
        <v>1569</v>
      </c>
      <c r="BA23" s="52" t="s">
        <v>1253</v>
      </c>
      <c r="BG23" s="52">
        <v>500</v>
      </c>
      <c r="BH23" s="52">
        <v>505</v>
      </c>
      <c r="BI23" s="52" t="s">
        <v>1252</v>
      </c>
      <c r="BJ23" s="52" t="s">
        <v>1404</v>
      </c>
      <c r="BK23" s="52">
        <v>1</v>
      </c>
      <c r="CA23" s="52" t="s">
        <v>1410</v>
      </c>
      <c r="CB23" s="52" t="s">
        <v>1174</v>
      </c>
      <c r="CC23" s="52" t="s">
        <v>1174</v>
      </c>
      <c r="CD23" s="52" t="s">
        <v>1428</v>
      </c>
      <c r="CE23" s="52" t="s">
        <v>1429</v>
      </c>
      <c r="CF23" s="52" t="s">
        <v>1429</v>
      </c>
      <c r="CG23" s="52" t="s">
        <v>1429</v>
      </c>
      <c r="CH23" s="52" t="s">
        <v>1429</v>
      </c>
      <c r="CI23" s="52" t="s">
        <v>1429</v>
      </c>
      <c r="CJ23" s="52" t="s">
        <v>1429</v>
      </c>
      <c r="CK23" s="52" t="s">
        <v>1429</v>
      </c>
      <c r="CL23" s="52" t="s">
        <v>1430</v>
      </c>
      <c r="CM23" s="52" t="s">
        <v>1430</v>
      </c>
      <c r="CN23" s="52" t="s">
        <v>1429</v>
      </c>
      <c r="CO23" s="52" t="s">
        <v>833</v>
      </c>
      <c r="CP23" s="52" t="s">
        <v>1431</v>
      </c>
      <c r="CQ23" s="52" t="s">
        <v>1429</v>
      </c>
      <c r="CR23" s="52" t="s">
        <v>1432</v>
      </c>
      <c r="CS23" s="52" t="s">
        <v>1213</v>
      </c>
      <c r="CT23" s="52" t="s">
        <v>81</v>
      </c>
      <c r="CU23" s="52" t="s">
        <v>322</v>
      </c>
      <c r="CV23" s="52">
        <v>19283</v>
      </c>
      <c r="CW23" s="52">
        <v>832714</v>
      </c>
      <c r="CX23" s="52">
        <v>440.57989999999995</v>
      </c>
      <c r="CY23" s="52">
        <v>183.57</v>
      </c>
      <c r="CZ23" s="52">
        <v>179.11</v>
      </c>
      <c r="DA23" s="52">
        <v>172.87</v>
      </c>
      <c r="DB23" s="52">
        <v>167.44</v>
      </c>
      <c r="DC23" s="52">
        <v>159.81</v>
      </c>
      <c r="DD23" s="52">
        <v>159.82</v>
      </c>
      <c r="DE23" s="52">
        <v>163.85</v>
      </c>
      <c r="DF23" s="52">
        <v>166.45</v>
      </c>
      <c r="DG23" s="52">
        <v>164.12</v>
      </c>
      <c r="DH23" s="52">
        <v>177.26</v>
      </c>
      <c r="DI23" s="52">
        <v>168.94</v>
      </c>
      <c r="DJ23" s="52">
        <v>160.86000000000001</v>
      </c>
      <c r="EA23" s="52" t="s">
        <v>1206</v>
      </c>
      <c r="EB23" s="52" t="s">
        <v>1451</v>
      </c>
      <c r="EC23" s="90" t="s">
        <v>1414</v>
      </c>
      <c r="EK23" s="52">
        <v>1834</v>
      </c>
      <c r="EL23" s="52" t="s">
        <v>204</v>
      </c>
      <c r="EM23" s="52" t="s">
        <v>1418</v>
      </c>
      <c r="EN23" s="91">
        <v>1.6E-2</v>
      </c>
      <c r="EQ23" s="91">
        <v>1.6E-2</v>
      </c>
      <c r="ER23" s="89">
        <v>129989.859</v>
      </c>
      <c r="ES23" s="89">
        <v>2079.8377439999999</v>
      </c>
      <c r="ET23" s="89">
        <v>1010.1410000000033</v>
      </c>
      <c r="EU23" s="89">
        <v>1010.1410000000033</v>
      </c>
    </row>
    <row r="24" spans="1:151" x14ac:dyDescent="0.25">
      <c r="A24" s="52" t="s">
        <v>1570</v>
      </c>
      <c r="D24" s="52">
        <v>214777133</v>
      </c>
      <c r="E24" s="52" t="s">
        <v>1215</v>
      </c>
      <c r="G24" s="52" t="s">
        <v>1251</v>
      </c>
      <c r="H24" s="52">
        <v>91017</v>
      </c>
      <c r="I24" s="52" t="s">
        <v>1254</v>
      </c>
      <c r="J24" s="52" t="s">
        <v>1252</v>
      </c>
      <c r="K24" s="52" t="s">
        <v>1404</v>
      </c>
      <c r="L24" s="52" t="s">
        <v>1426</v>
      </c>
      <c r="M24" s="52" t="s">
        <v>1250</v>
      </c>
      <c r="O24" s="4">
        <v>42835</v>
      </c>
      <c r="P24" s="4">
        <v>42835</v>
      </c>
      <c r="R24" s="52" t="s">
        <v>74</v>
      </c>
      <c r="S24" s="89">
        <v>-45000</v>
      </c>
      <c r="T24" s="89">
        <v>-45000</v>
      </c>
      <c r="W24" s="89">
        <v>-44827.199999999997</v>
      </c>
      <c r="Y24" s="52">
        <v>1</v>
      </c>
      <c r="Z24" s="52" t="s">
        <v>75</v>
      </c>
      <c r="AE24" s="52" t="s">
        <v>165</v>
      </c>
      <c r="AF24" s="52">
        <v>11.247620076297601</v>
      </c>
      <c r="AG24" s="52">
        <v>-11.250455173503701</v>
      </c>
      <c r="AH24" s="52">
        <v>0</v>
      </c>
      <c r="AI24" s="52">
        <v>0</v>
      </c>
      <c r="AJ24" s="52">
        <v>-0.28256210810650401</v>
      </c>
      <c r="AK24" s="52">
        <v>100</v>
      </c>
      <c r="AL24" s="52" t="s">
        <v>1571</v>
      </c>
      <c r="AO24" s="52" t="s">
        <v>92</v>
      </c>
      <c r="AP24" s="52" t="s">
        <v>93</v>
      </c>
      <c r="AQ24" s="52" t="s">
        <v>1572</v>
      </c>
      <c r="AT24" s="52">
        <v>-110.1306</v>
      </c>
      <c r="AU24" s="52">
        <v>135</v>
      </c>
      <c r="AX24" s="52" t="s">
        <v>76</v>
      </c>
      <c r="AY24" s="52" t="s">
        <v>1573</v>
      </c>
      <c r="BA24" s="52" t="s">
        <v>1253</v>
      </c>
      <c r="BG24" s="52">
        <v>500</v>
      </c>
      <c r="BH24" s="52">
        <v>505</v>
      </c>
      <c r="BI24" s="52" t="s">
        <v>1252</v>
      </c>
      <c r="BJ24" s="52" t="s">
        <v>1404</v>
      </c>
      <c r="BK24" s="52">
        <v>1</v>
      </c>
      <c r="CA24" s="52" t="s">
        <v>1410</v>
      </c>
      <c r="CB24" s="52" t="s">
        <v>1174</v>
      </c>
      <c r="CC24" s="52" t="s">
        <v>1174</v>
      </c>
      <c r="CD24" s="52" t="s">
        <v>1428</v>
      </c>
      <c r="CE24" s="52" t="s">
        <v>1429</v>
      </c>
      <c r="CF24" s="52" t="s">
        <v>1429</v>
      </c>
      <c r="CG24" s="52" t="s">
        <v>1429</v>
      </c>
      <c r="CH24" s="52" t="s">
        <v>1429</v>
      </c>
      <c r="CI24" s="52" t="s">
        <v>1429</v>
      </c>
      <c r="CJ24" s="52" t="s">
        <v>1429</v>
      </c>
      <c r="CK24" s="52" t="s">
        <v>1429</v>
      </c>
      <c r="CL24" s="52" t="s">
        <v>1430</v>
      </c>
      <c r="CM24" s="52" t="s">
        <v>1430</v>
      </c>
      <c r="CN24" s="52" t="s">
        <v>1429</v>
      </c>
      <c r="CO24" s="52" t="s">
        <v>833</v>
      </c>
      <c r="CP24" s="52" t="s">
        <v>1431</v>
      </c>
      <c r="CQ24" s="52" t="s">
        <v>1429</v>
      </c>
      <c r="CR24" s="52" t="s">
        <v>1432</v>
      </c>
      <c r="CS24" s="52" t="s">
        <v>1213</v>
      </c>
      <c r="CT24" s="52" t="s">
        <v>81</v>
      </c>
      <c r="CU24" s="52" t="s">
        <v>322</v>
      </c>
      <c r="CV24" s="52">
        <v>19283</v>
      </c>
      <c r="CW24" s="52">
        <v>832714</v>
      </c>
      <c r="CX24" s="52">
        <v>440.57989999999995</v>
      </c>
      <c r="CY24" s="52">
        <v>183.57</v>
      </c>
      <c r="CZ24" s="52">
        <v>179.11</v>
      </c>
      <c r="DA24" s="52">
        <v>172.87</v>
      </c>
      <c r="DB24" s="52">
        <v>167.44</v>
      </c>
      <c r="DC24" s="52">
        <v>159.81</v>
      </c>
      <c r="DD24" s="52">
        <v>159.82</v>
      </c>
      <c r="DE24" s="52">
        <v>163.85</v>
      </c>
      <c r="DF24" s="52">
        <v>166.45</v>
      </c>
      <c r="DG24" s="52">
        <v>164.12</v>
      </c>
      <c r="DH24" s="52">
        <v>177.26</v>
      </c>
      <c r="DI24" s="52">
        <v>168.94</v>
      </c>
      <c r="DJ24" s="52">
        <v>160.86000000000001</v>
      </c>
      <c r="EA24" s="52" t="s">
        <v>1206</v>
      </c>
      <c r="EB24" s="52" t="s">
        <v>1451</v>
      </c>
      <c r="EC24" s="90" t="s">
        <v>1414</v>
      </c>
      <c r="EK24" s="52">
        <v>923</v>
      </c>
      <c r="EL24" s="52" t="s">
        <v>204</v>
      </c>
      <c r="EM24" s="52" t="s">
        <v>1418</v>
      </c>
      <c r="EN24" s="91">
        <v>1.6E-2</v>
      </c>
      <c r="EQ24" s="91">
        <v>1.6E-2</v>
      </c>
      <c r="ER24" s="89">
        <v>44827.199999999997</v>
      </c>
      <c r="ES24" s="89">
        <v>717.23519999999996</v>
      </c>
      <c r="ET24" s="89">
        <v>172.80000000000291</v>
      </c>
      <c r="EU24" s="89">
        <v>172.80000000000291</v>
      </c>
    </row>
    <row r="25" spans="1:151" x14ac:dyDescent="0.25">
      <c r="A25" s="52" t="s">
        <v>1574</v>
      </c>
      <c r="D25" s="52">
        <v>214777135</v>
      </c>
      <c r="E25" s="52" t="s">
        <v>1215</v>
      </c>
      <c r="G25" s="52" t="s">
        <v>1251</v>
      </c>
      <c r="H25" s="52">
        <v>91017</v>
      </c>
      <c r="I25" s="52" t="s">
        <v>1254</v>
      </c>
      <c r="J25" s="52" t="s">
        <v>1252</v>
      </c>
      <c r="K25" s="52" t="s">
        <v>1404</v>
      </c>
      <c r="L25" s="52" t="s">
        <v>1575</v>
      </c>
      <c r="M25" s="52" t="s">
        <v>1250</v>
      </c>
      <c r="O25" s="4">
        <v>42654</v>
      </c>
      <c r="P25" s="4">
        <v>42654</v>
      </c>
      <c r="R25" s="52" t="s">
        <v>74</v>
      </c>
      <c r="S25" s="89">
        <v>-75000</v>
      </c>
      <c r="T25" s="89">
        <v>-75000</v>
      </c>
      <c r="W25" s="89">
        <v>-74852.399999999994</v>
      </c>
      <c r="Y25" s="52">
        <v>1</v>
      </c>
      <c r="Z25" s="52" t="s">
        <v>75</v>
      </c>
      <c r="AE25" s="52" t="s">
        <v>165</v>
      </c>
      <c r="AF25" s="52">
        <v>15.1595956634992</v>
      </c>
      <c r="AG25" s="52">
        <v>-15.162674087099701</v>
      </c>
      <c r="AH25" s="52">
        <v>0</v>
      </c>
      <c r="AI25" s="52">
        <v>0</v>
      </c>
      <c r="AJ25" s="52">
        <v>-0.65546035590523399</v>
      </c>
      <c r="AK25" s="52">
        <v>100</v>
      </c>
      <c r="AL25" s="52" t="s">
        <v>1576</v>
      </c>
      <c r="AO25" s="52" t="s">
        <v>92</v>
      </c>
      <c r="AP25" s="52" t="s">
        <v>93</v>
      </c>
      <c r="AQ25" s="52" t="s">
        <v>1577</v>
      </c>
      <c r="AT25" s="52">
        <v>-108.4182</v>
      </c>
      <c r="AU25" s="52">
        <v>225</v>
      </c>
      <c r="AX25" s="52" t="s">
        <v>76</v>
      </c>
      <c r="AY25" s="52" t="s">
        <v>1578</v>
      </c>
      <c r="BA25" s="52" t="s">
        <v>1253</v>
      </c>
      <c r="BG25" s="52">
        <v>500</v>
      </c>
      <c r="BH25" s="52">
        <v>505</v>
      </c>
      <c r="BI25" s="52" t="s">
        <v>1252</v>
      </c>
      <c r="BJ25" s="52" t="s">
        <v>1404</v>
      </c>
      <c r="BK25" s="52">
        <v>1</v>
      </c>
      <c r="CA25" s="52" t="s">
        <v>1410</v>
      </c>
      <c r="CB25" s="52" t="s">
        <v>1174</v>
      </c>
      <c r="CC25" s="52" t="s">
        <v>1174</v>
      </c>
      <c r="CD25" s="52" t="s">
        <v>1428</v>
      </c>
      <c r="CE25" s="52" t="s">
        <v>1429</v>
      </c>
      <c r="CF25" s="52" t="s">
        <v>1429</v>
      </c>
      <c r="CG25" s="52" t="s">
        <v>1429</v>
      </c>
      <c r="CH25" s="52" t="s">
        <v>1429</v>
      </c>
      <c r="CI25" s="52" t="s">
        <v>1429</v>
      </c>
      <c r="CJ25" s="52" t="s">
        <v>1429</v>
      </c>
      <c r="CK25" s="52" t="s">
        <v>1429</v>
      </c>
      <c r="CL25" s="52" t="s">
        <v>1430</v>
      </c>
      <c r="CM25" s="52" t="s">
        <v>1430</v>
      </c>
      <c r="CN25" s="52" t="s">
        <v>1429</v>
      </c>
      <c r="CO25" s="52" t="s">
        <v>833</v>
      </c>
      <c r="CP25" s="52" t="s">
        <v>1431</v>
      </c>
      <c r="CQ25" s="52" t="s">
        <v>1429</v>
      </c>
      <c r="CR25" s="52" t="s">
        <v>1432</v>
      </c>
      <c r="CS25" s="52" t="s">
        <v>1213</v>
      </c>
      <c r="CT25" s="52" t="s">
        <v>1665</v>
      </c>
      <c r="CU25" s="52" t="s">
        <v>1200</v>
      </c>
      <c r="CV25" s="52" t="s">
        <v>1200</v>
      </c>
      <c r="CW25" s="52" t="s">
        <v>1200</v>
      </c>
      <c r="CX25" s="52" t="s">
        <v>1200</v>
      </c>
      <c r="CY25" s="52" t="s">
        <v>1200</v>
      </c>
      <c r="CZ25" s="52" t="s">
        <v>1200</v>
      </c>
      <c r="DA25" s="52" t="s">
        <v>1200</v>
      </c>
      <c r="DB25" s="52" t="s">
        <v>1200</v>
      </c>
      <c r="DC25" s="52" t="s">
        <v>1200</v>
      </c>
      <c r="DD25" s="52" t="s">
        <v>1200</v>
      </c>
      <c r="DE25" s="52" t="s">
        <v>1200</v>
      </c>
      <c r="DF25" s="52" t="s">
        <v>1200</v>
      </c>
      <c r="DG25" s="52" t="s">
        <v>1200</v>
      </c>
      <c r="DH25" s="52" t="s">
        <v>1200</v>
      </c>
      <c r="DI25" s="52" t="s">
        <v>1200</v>
      </c>
      <c r="DJ25" s="52" t="s">
        <v>1200</v>
      </c>
      <c r="EA25" s="52" t="s">
        <v>1206</v>
      </c>
      <c r="EB25" s="52" t="s">
        <v>1451</v>
      </c>
      <c r="EC25" s="90" t="s">
        <v>1414</v>
      </c>
      <c r="EK25" s="52">
        <v>742</v>
      </c>
      <c r="EL25" s="52" t="s">
        <v>204</v>
      </c>
      <c r="EM25" s="52" t="s">
        <v>1418</v>
      </c>
      <c r="EN25" s="91">
        <v>1.6E-2</v>
      </c>
      <c r="EQ25" s="91">
        <v>1.6E-2</v>
      </c>
      <c r="ER25" s="89">
        <v>74852.399999999994</v>
      </c>
      <c r="ES25" s="89">
        <v>1197.6383999999998</v>
      </c>
      <c r="ET25" s="89">
        <v>147.60000000000582</v>
      </c>
      <c r="EU25" s="89">
        <v>147.60000000000582</v>
      </c>
    </row>
    <row r="26" spans="1:151" x14ac:dyDescent="0.25">
      <c r="A26" s="52" t="s">
        <v>1579</v>
      </c>
      <c r="D26" s="52">
        <v>214777136</v>
      </c>
      <c r="E26" s="52" t="s">
        <v>1215</v>
      </c>
      <c r="G26" s="52" t="s">
        <v>1251</v>
      </c>
      <c r="H26" s="52">
        <v>91017</v>
      </c>
      <c r="I26" s="52" t="s">
        <v>1254</v>
      </c>
      <c r="J26" s="52" t="s">
        <v>1252</v>
      </c>
      <c r="K26" s="52" t="s">
        <v>1404</v>
      </c>
      <c r="L26" s="52" t="s">
        <v>1575</v>
      </c>
      <c r="M26" s="52" t="s">
        <v>1250</v>
      </c>
      <c r="O26" s="4">
        <v>43382</v>
      </c>
      <c r="P26" s="4">
        <v>43382</v>
      </c>
      <c r="R26" s="52" t="s">
        <v>74</v>
      </c>
      <c r="S26" s="89">
        <v>-65000</v>
      </c>
      <c r="T26" s="89">
        <v>-65000</v>
      </c>
      <c r="W26" s="89">
        <v>-64624.95</v>
      </c>
      <c r="Y26" s="52">
        <v>1</v>
      </c>
      <c r="Z26" s="52" t="s">
        <v>75</v>
      </c>
      <c r="AE26" s="52" t="s">
        <v>165</v>
      </c>
      <c r="AF26" s="52">
        <v>25.307112339898602</v>
      </c>
      <c r="AG26" s="52">
        <v>-25.317190198496998</v>
      </c>
      <c r="AH26" s="52">
        <v>0</v>
      </c>
      <c r="AI26" s="52">
        <v>0</v>
      </c>
      <c r="AJ26" s="52">
        <v>-0.73592984209972201</v>
      </c>
      <c r="AK26" s="52">
        <v>100</v>
      </c>
      <c r="AL26" s="52" t="s">
        <v>1580</v>
      </c>
      <c r="AO26" s="52" t="s">
        <v>92</v>
      </c>
      <c r="AP26" s="52" t="s">
        <v>93</v>
      </c>
      <c r="AQ26" s="52" t="s">
        <v>1581</v>
      </c>
      <c r="AT26" s="52">
        <v>-350.88380000000001</v>
      </c>
      <c r="AU26" s="52">
        <v>195</v>
      </c>
      <c r="AX26" s="52" t="s">
        <v>76</v>
      </c>
      <c r="AY26" s="52" t="s">
        <v>1582</v>
      </c>
      <c r="BA26" s="52" t="s">
        <v>1253</v>
      </c>
      <c r="BG26" s="52">
        <v>500</v>
      </c>
      <c r="BH26" s="52">
        <v>505</v>
      </c>
      <c r="BI26" s="52" t="s">
        <v>1252</v>
      </c>
      <c r="BJ26" s="52" t="s">
        <v>1404</v>
      </c>
      <c r="BK26" s="52">
        <v>1</v>
      </c>
      <c r="CA26" s="52" t="s">
        <v>1410</v>
      </c>
      <c r="CB26" s="52" t="s">
        <v>1174</v>
      </c>
      <c r="CC26" s="52" t="s">
        <v>1174</v>
      </c>
      <c r="CD26" s="52" t="s">
        <v>1428</v>
      </c>
      <c r="CE26" s="52" t="s">
        <v>1429</v>
      </c>
      <c r="CF26" s="52" t="s">
        <v>1429</v>
      </c>
      <c r="CG26" s="52" t="s">
        <v>1429</v>
      </c>
      <c r="CH26" s="52" t="s">
        <v>1429</v>
      </c>
      <c r="CI26" s="52" t="s">
        <v>1429</v>
      </c>
      <c r="CJ26" s="52" t="s">
        <v>1429</v>
      </c>
      <c r="CK26" s="52" t="s">
        <v>1429</v>
      </c>
      <c r="CL26" s="52" t="s">
        <v>1430</v>
      </c>
      <c r="CM26" s="52" t="s">
        <v>1430</v>
      </c>
      <c r="CN26" s="52" t="s">
        <v>1429</v>
      </c>
      <c r="CO26" s="52" t="s">
        <v>833</v>
      </c>
      <c r="CP26" s="52" t="s">
        <v>1431</v>
      </c>
      <c r="CQ26" s="52" t="s">
        <v>1429</v>
      </c>
      <c r="CR26" s="52" t="s">
        <v>1432</v>
      </c>
      <c r="CS26" s="52" t="s">
        <v>1213</v>
      </c>
      <c r="CT26" s="52" t="s">
        <v>1665</v>
      </c>
      <c r="CU26" s="52" t="s">
        <v>1200</v>
      </c>
      <c r="CV26" s="52" t="s">
        <v>1200</v>
      </c>
      <c r="CW26" s="52" t="s">
        <v>1200</v>
      </c>
      <c r="CX26" s="52" t="s">
        <v>1200</v>
      </c>
      <c r="CY26" s="52" t="s">
        <v>1200</v>
      </c>
      <c r="CZ26" s="52" t="s">
        <v>1200</v>
      </c>
      <c r="DA26" s="52" t="s">
        <v>1200</v>
      </c>
      <c r="DB26" s="52" t="s">
        <v>1200</v>
      </c>
      <c r="DC26" s="52" t="s">
        <v>1200</v>
      </c>
      <c r="DD26" s="52" t="s">
        <v>1200</v>
      </c>
      <c r="DE26" s="52" t="s">
        <v>1200</v>
      </c>
      <c r="DF26" s="52" t="s">
        <v>1200</v>
      </c>
      <c r="DG26" s="52" t="s">
        <v>1200</v>
      </c>
      <c r="DH26" s="52" t="s">
        <v>1200</v>
      </c>
      <c r="DI26" s="52" t="s">
        <v>1200</v>
      </c>
      <c r="DJ26" s="52" t="s">
        <v>1200</v>
      </c>
      <c r="EA26" s="52" t="s">
        <v>1206</v>
      </c>
      <c r="EB26" s="52" t="s">
        <v>1451</v>
      </c>
      <c r="EC26" s="90" t="s">
        <v>1414</v>
      </c>
      <c r="EK26" s="52">
        <v>1470</v>
      </c>
      <c r="EL26" s="52" t="s">
        <v>204</v>
      </c>
      <c r="EM26" s="52" t="s">
        <v>1418</v>
      </c>
      <c r="EN26" s="91">
        <v>1.6E-2</v>
      </c>
      <c r="EQ26" s="91">
        <v>1.6E-2</v>
      </c>
      <c r="ER26" s="89">
        <v>64624.95</v>
      </c>
      <c r="ES26" s="89">
        <v>1033.9992</v>
      </c>
      <c r="ET26" s="89">
        <v>375.05000000000291</v>
      </c>
      <c r="EU26" s="89">
        <v>375.05000000000291</v>
      </c>
    </row>
    <row r="27" spans="1:151" x14ac:dyDescent="0.25">
      <c r="A27" s="52" t="s">
        <v>1583</v>
      </c>
      <c r="D27" s="52">
        <v>214777141</v>
      </c>
      <c r="E27" s="52" t="s">
        <v>1215</v>
      </c>
      <c r="G27" s="52" t="s">
        <v>1251</v>
      </c>
      <c r="H27" s="52">
        <v>91017</v>
      </c>
      <c r="I27" s="52" t="s">
        <v>1254</v>
      </c>
      <c r="J27" s="52" t="s">
        <v>1252</v>
      </c>
      <c r="K27" s="52" t="s">
        <v>1404</v>
      </c>
      <c r="L27" s="52" t="s">
        <v>1584</v>
      </c>
      <c r="M27" s="52" t="s">
        <v>1250</v>
      </c>
      <c r="O27" s="4">
        <v>43753</v>
      </c>
      <c r="P27" s="4">
        <v>43753</v>
      </c>
      <c r="R27" s="52" t="s">
        <v>74</v>
      </c>
      <c r="S27" s="89">
        <v>-26000</v>
      </c>
      <c r="T27" s="89">
        <v>-26000</v>
      </c>
      <c r="W27" s="89">
        <v>-25710.62</v>
      </c>
      <c r="Y27" s="52">
        <v>1</v>
      </c>
      <c r="Z27" s="52" t="s">
        <v>75</v>
      </c>
      <c r="AE27" s="52" t="s">
        <v>165</v>
      </c>
      <c r="AF27" s="52">
        <v>12.4005986554985</v>
      </c>
      <c r="AG27" s="52">
        <v>-12.406742947299801</v>
      </c>
      <c r="AH27" s="52">
        <v>0</v>
      </c>
      <c r="AI27" s="52">
        <v>0</v>
      </c>
      <c r="AJ27" s="52">
        <v>-0.414653638599702</v>
      </c>
      <c r="AK27" s="52">
        <v>100</v>
      </c>
      <c r="AL27" s="52" t="s">
        <v>1585</v>
      </c>
      <c r="AO27" s="52" t="s">
        <v>92</v>
      </c>
      <c r="AP27" s="52" t="s">
        <v>93</v>
      </c>
      <c r="AQ27" s="52" t="s">
        <v>1586</v>
      </c>
      <c r="AT27" s="52">
        <v>-159.46969999999999</v>
      </c>
      <c r="AU27" s="52">
        <v>78</v>
      </c>
      <c r="AX27" s="52" t="s">
        <v>76</v>
      </c>
      <c r="AY27" s="52" t="s">
        <v>1587</v>
      </c>
      <c r="BA27" s="52" t="s">
        <v>1253</v>
      </c>
      <c r="BG27" s="52">
        <v>500</v>
      </c>
      <c r="BH27" s="52">
        <v>505</v>
      </c>
      <c r="BI27" s="52" t="s">
        <v>1252</v>
      </c>
      <c r="BJ27" s="52" t="s">
        <v>1404</v>
      </c>
      <c r="BK27" s="52">
        <v>1</v>
      </c>
      <c r="CA27" s="52" t="s">
        <v>1410</v>
      </c>
      <c r="CB27" s="52" t="s">
        <v>1174</v>
      </c>
      <c r="CC27" s="52" t="s">
        <v>1174</v>
      </c>
      <c r="CD27" s="52" t="s">
        <v>1428</v>
      </c>
      <c r="CE27" s="52" t="s">
        <v>1429</v>
      </c>
      <c r="CF27" s="52" t="s">
        <v>1429</v>
      </c>
      <c r="CG27" s="52" t="s">
        <v>1429</v>
      </c>
      <c r="CH27" s="52" t="s">
        <v>1429</v>
      </c>
      <c r="CI27" s="52" t="s">
        <v>1429</v>
      </c>
      <c r="CJ27" s="52" t="s">
        <v>1429</v>
      </c>
      <c r="CK27" s="52" t="s">
        <v>1429</v>
      </c>
      <c r="CL27" s="52" t="s">
        <v>1430</v>
      </c>
      <c r="CM27" s="52" t="s">
        <v>1430</v>
      </c>
      <c r="CN27" s="52" t="s">
        <v>1429</v>
      </c>
      <c r="CO27" s="52" t="s">
        <v>601</v>
      </c>
      <c r="CP27" s="52" t="s">
        <v>1431</v>
      </c>
      <c r="CQ27" s="52" t="s">
        <v>1429</v>
      </c>
      <c r="CR27" s="52" t="s">
        <v>1432</v>
      </c>
      <c r="CS27" s="52" t="s">
        <v>1213</v>
      </c>
      <c r="CT27" s="52" t="s">
        <v>1666</v>
      </c>
      <c r="CU27" s="52" t="s">
        <v>1200</v>
      </c>
      <c r="CV27" s="52" t="s">
        <v>1200</v>
      </c>
      <c r="CW27" s="52" t="s">
        <v>1200</v>
      </c>
      <c r="CX27" s="52" t="s">
        <v>1200</v>
      </c>
      <c r="CY27" s="52" t="s">
        <v>1200</v>
      </c>
      <c r="CZ27" s="52" t="s">
        <v>1200</v>
      </c>
      <c r="DA27" s="52" t="s">
        <v>1200</v>
      </c>
      <c r="DB27" s="52" t="s">
        <v>1200</v>
      </c>
      <c r="DC27" s="52" t="s">
        <v>1200</v>
      </c>
      <c r="DD27" s="52" t="s">
        <v>1200</v>
      </c>
      <c r="DE27" s="52" t="s">
        <v>1200</v>
      </c>
      <c r="DF27" s="52" t="s">
        <v>1200</v>
      </c>
      <c r="DG27" s="52" t="s">
        <v>1200</v>
      </c>
      <c r="DH27" s="52" t="s">
        <v>1200</v>
      </c>
      <c r="DI27" s="52" t="s">
        <v>1200</v>
      </c>
      <c r="DJ27" s="52" t="s">
        <v>1200</v>
      </c>
      <c r="EA27" s="52" t="s">
        <v>1206</v>
      </c>
      <c r="EB27" s="52" t="s">
        <v>1451</v>
      </c>
      <c r="EC27" s="90">
        <v>3</v>
      </c>
      <c r="EK27" s="52">
        <v>1841</v>
      </c>
      <c r="EL27" s="52" t="s">
        <v>204</v>
      </c>
      <c r="EM27" s="52" t="s">
        <v>237</v>
      </c>
      <c r="EN27" s="91">
        <v>0.08</v>
      </c>
      <c r="EQ27" s="91">
        <v>0.08</v>
      </c>
      <c r="ER27" s="89">
        <v>25710.62</v>
      </c>
      <c r="ES27" s="89">
        <v>2056.8496</v>
      </c>
      <c r="ET27" s="89">
        <v>289.38000000000102</v>
      </c>
      <c r="EU27" s="89">
        <v>289.38000000000102</v>
      </c>
    </row>
    <row r="28" spans="1:151" x14ac:dyDescent="0.25">
      <c r="A28" s="52" t="s">
        <v>1588</v>
      </c>
      <c r="D28" s="52">
        <v>214777106</v>
      </c>
      <c r="E28" s="52" t="s">
        <v>1215</v>
      </c>
      <c r="G28" s="52" t="s">
        <v>1251</v>
      </c>
      <c r="H28" s="52">
        <v>91017</v>
      </c>
      <c r="I28" s="52" t="s">
        <v>1254</v>
      </c>
      <c r="J28" s="52" t="s">
        <v>1252</v>
      </c>
      <c r="K28" s="52" t="s">
        <v>1405</v>
      </c>
      <c r="L28" s="52" t="s">
        <v>1465</v>
      </c>
      <c r="M28" s="52" t="s">
        <v>1250</v>
      </c>
      <c r="O28" s="4">
        <v>42011</v>
      </c>
      <c r="P28" s="4">
        <v>42011</v>
      </c>
      <c r="R28" s="52" t="s">
        <v>74</v>
      </c>
      <c r="S28" s="89">
        <v>-249000</v>
      </c>
      <c r="T28" s="89">
        <v>-249000</v>
      </c>
      <c r="W28" s="89">
        <v>-248910.36</v>
      </c>
      <c r="Y28" s="52">
        <v>1</v>
      </c>
      <c r="Z28" s="52" t="s">
        <v>75</v>
      </c>
      <c r="AE28" s="52" t="s">
        <v>1406</v>
      </c>
      <c r="AF28" s="52">
        <v>6.8193685009900902</v>
      </c>
      <c r="AG28" s="52">
        <v>-6.8195553360274097</v>
      </c>
      <c r="AH28" s="52">
        <v>0</v>
      </c>
      <c r="AI28" s="52">
        <v>0</v>
      </c>
      <c r="AJ28" s="52">
        <v>-1.7568323370069301</v>
      </c>
      <c r="AK28" s="52">
        <v>100</v>
      </c>
      <c r="AL28" s="52" t="s">
        <v>1589</v>
      </c>
      <c r="AO28" s="52" t="s">
        <v>92</v>
      </c>
      <c r="AP28" s="52" t="s">
        <v>93</v>
      </c>
      <c r="AQ28" s="52" t="s">
        <v>1590</v>
      </c>
      <c r="AT28" s="52">
        <v>-21.2865</v>
      </c>
      <c r="AU28" s="52">
        <v>747</v>
      </c>
      <c r="AX28" s="52" t="s">
        <v>76</v>
      </c>
      <c r="AY28" s="52" t="s">
        <v>1591</v>
      </c>
      <c r="BA28" s="52" t="s">
        <v>1253</v>
      </c>
      <c r="BG28" s="52">
        <v>500</v>
      </c>
      <c r="BH28" s="52">
        <v>506</v>
      </c>
      <c r="BI28" s="52" t="s">
        <v>1252</v>
      </c>
      <c r="BJ28" s="52" t="s">
        <v>1405</v>
      </c>
      <c r="BK28" s="52">
        <v>1</v>
      </c>
      <c r="CA28" s="52" t="s">
        <v>1410</v>
      </c>
      <c r="CB28" s="52" t="s">
        <v>1174</v>
      </c>
      <c r="CC28" s="52" t="s">
        <v>1174</v>
      </c>
      <c r="CD28" s="52" t="s">
        <v>1428</v>
      </c>
      <c r="CE28" s="52" t="s">
        <v>1429</v>
      </c>
      <c r="CF28" s="52" t="s">
        <v>1429</v>
      </c>
      <c r="CG28" s="52" t="s">
        <v>1429</v>
      </c>
      <c r="CH28" s="52" t="s">
        <v>1429</v>
      </c>
      <c r="CI28" s="52" t="s">
        <v>1429</v>
      </c>
      <c r="CJ28" s="52" t="s">
        <v>1429</v>
      </c>
      <c r="CK28" s="52" t="s">
        <v>1429</v>
      </c>
      <c r="CL28" s="52" t="s">
        <v>1430</v>
      </c>
      <c r="CM28" s="52" t="s">
        <v>1430</v>
      </c>
      <c r="CN28" s="52" t="s">
        <v>1429</v>
      </c>
      <c r="CO28" s="52" t="s">
        <v>601</v>
      </c>
      <c r="CP28" s="52" t="s">
        <v>1431</v>
      </c>
      <c r="CQ28" s="52" t="s">
        <v>1429</v>
      </c>
      <c r="CR28" s="52" t="s">
        <v>1432</v>
      </c>
      <c r="CS28" s="52" t="s">
        <v>1213</v>
      </c>
      <c r="CT28" s="52" t="s">
        <v>1481</v>
      </c>
      <c r="CU28" s="52" t="s">
        <v>1200</v>
      </c>
      <c r="CV28" s="52" t="s">
        <v>1200</v>
      </c>
      <c r="CW28" s="52" t="s">
        <v>1200</v>
      </c>
      <c r="CX28" s="52" t="s">
        <v>1200</v>
      </c>
      <c r="CY28" s="52" t="s">
        <v>1200</v>
      </c>
      <c r="CZ28" s="52" t="s">
        <v>1200</v>
      </c>
      <c r="DA28" s="52" t="s">
        <v>1200</v>
      </c>
      <c r="DB28" s="52" t="s">
        <v>1200</v>
      </c>
      <c r="DC28" s="52" t="s">
        <v>1200</v>
      </c>
      <c r="DD28" s="52" t="s">
        <v>1200</v>
      </c>
      <c r="DE28" s="52" t="s">
        <v>1200</v>
      </c>
      <c r="DF28" s="52" t="s">
        <v>1200</v>
      </c>
      <c r="DG28" s="52" t="s">
        <v>1200</v>
      </c>
      <c r="DH28" s="52" t="s">
        <v>1200</v>
      </c>
      <c r="DI28" s="52" t="s">
        <v>1200</v>
      </c>
      <c r="DJ28" s="52" t="s">
        <v>1200</v>
      </c>
      <c r="EA28" s="52" t="s">
        <v>1206</v>
      </c>
      <c r="EB28" s="52" t="s">
        <v>1451</v>
      </c>
      <c r="EC28" s="90">
        <v>3</v>
      </c>
      <c r="EK28" s="52">
        <v>99</v>
      </c>
      <c r="EL28" s="52" t="s">
        <v>198</v>
      </c>
      <c r="EM28" s="52" t="s">
        <v>237</v>
      </c>
      <c r="EN28" s="91">
        <v>0.08</v>
      </c>
      <c r="EQ28" s="91">
        <v>0.08</v>
      </c>
      <c r="ER28" s="89">
        <v>248910.36</v>
      </c>
      <c r="ES28" s="89">
        <v>19912.828799999999</v>
      </c>
      <c r="ET28" s="89">
        <v>89.64000000001397</v>
      </c>
      <c r="EU28" s="89">
        <v>89.64000000001397</v>
      </c>
    </row>
    <row r="29" spans="1:151" x14ac:dyDescent="0.25">
      <c r="A29" s="52" t="s">
        <v>1592</v>
      </c>
      <c r="D29" s="52">
        <v>214777107</v>
      </c>
      <c r="E29" s="52" t="s">
        <v>1215</v>
      </c>
      <c r="G29" s="52" t="s">
        <v>1251</v>
      </c>
      <c r="H29" s="52">
        <v>91017</v>
      </c>
      <c r="I29" s="52" t="s">
        <v>1254</v>
      </c>
      <c r="J29" s="52" t="s">
        <v>1252</v>
      </c>
      <c r="K29" s="52" t="s">
        <v>1405</v>
      </c>
      <c r="L29" s="52" t="s">
        <v>1465</v>
      </c>
      <c r="M29" s="52" t="s">
        <v>1250</v>
      </c>
      <c r="O29" s="4">
        <v>42011</v>
      </c>
      <c r="P29" s="4">
        <v>42011</v>
      </c>
      <c r="R29" s="52" t="s">
        <v>74</v>
      </c>
      <c r="S29" s="89">
        <v>-29000</v>
      </c>
      <c r="T29" s="89">
        <v>-29000</v>
      </c>
      <c r="W29" s="89">
        <v>-28996.52</v>
      </c>
      <c r="Y29" s="52">
        <v>1</v>
      </c>
      <c r="Z29" s="52" t="s">
        <v>75</v>
      </c>
      <c r="AE29" s="52" t="s">
        <v>1406</v>
      </c>
      <c r="AF29" s="52">
        <v>0.79441432300154702</v>
      </c>
      <c r="AG29" s="52">
        <v>-0.79443608810106503</v>
      </c>
      <c r="AH29" s="52">
        <v>0</v>
      </c>
      <c r="AI29" s="52">
        <v>0</v>
      </c>
      <c r="AJ29" s="52">
        <v>-0.206300679899869</v>
      </c>
      <c r="AK29" s="52">
        <v>100</v>
      </c>
      <c r="AL29" s="52" t="s">
        <v>1593</v>
      </c>
      <c r="AO29" s="52" t="s">
        <v>92</v>
      </c>
      <c r="AP29" s="52" t="s">
        <v>93</v>
      </c>
      <c r="AQ29" s="52" t="s">
        <v>1594</v>
      </c>
      <c r="AT29" s="52">
        <v>-2.4796999999999998</v>
      </c>
      <c r="AU29" s="52">
        <v>87</v>
      </c>
      <c r="AX29" s="52" t="s">
        <v>76</v>
      </c>
      <c r="AY29" s="52" t="s">
        <v>1595</v>
      </c>
      <c r="BA29" s="52" t="s">
        <v>1253</v>
      </c>
      <c r="BG29" s="52">
        <v>500</v>
      </c>
      <c r="BH29" s="52">
        <v>506</v>
      </c>
      <c r="BI29" s="52" t="s">
        <v>1252</v>
      </c>
      <c r="BJ29" s="52" t="s">
        <v>1405</v>
      </c>
      <c r="BK29" s="52">
        <v>1</v>
      </c>
      <c r="CA29" s="52" t="s">
        <v>1410</v>
      </c>
      <c r="CB29" s="52" t="s">
        <v>1174</v>
      </c>
      <c r="CC29" s="52" t="s">
        <v>1174</v>
      </c>
      <c r="CD29" s="52" t="s">
        <v>1428</v>
      </c>
      <c r="CE29" s="52" t="s">
        <v>1429</v>
      </c>
      <c r="CF29" s="52" t="s">
        <v>1429</v>
      </c>
      <c r="CG29" s="52" t="s">
        <v>1429</v>
      </c>
      <c r="CH29" s="52" t="s">
        <v>1429</v>
      </c>
      <c r="CI29" s="52" t="s">
        <v>1429</v>
      </c>
      <c r="CJ29" s="52" t="s">
        <v>1429</v>
      </c>
      <c r="CK29" s="52" t="s">
        <v>1429</v>
      </c>
      <c r="CL29" s="52" t="s">
        <v>1430</v>
      </c>
      <c r="CM29" s="52" t="s">
        <v>1430</v>
      </c>
      <c r="CN29" s="52" t="s">
        <v>1429</v>
      </c>
      <c r="CO29" s="52" t="s">
        <v>601</v>
      </c>
      <c r="CP29" s="52" t="s">
        <v>1431</v>
      </c>
      <c r="CQ29" s="52" t="s">
        <v>1429</v>
      </c>
      <c r="CR29" s="52" t="s">
        <v>1432</v>
      </c>
      <c r="CS29" s="52" t="s">
        <v>1213</v>
      </c>
      <c r="CT29" s="52" t="s">
        <v>1481</v>
      </c>
      <c r="CU29" s="52" t="s">
        <v>1200</v>
      </c>
      <c r="CV29" s="52" t="s">
        <v>1200</v>
      </c>
      <c r="CW29" s="52" t="s">
        <v>1200</v>
      </c>
      <c r="CX29" s="52" t="s">
        <v>1200</v>
      </c>
      <c r="CY29" s="52" t="s">
        <v>1200</v>
      </c>
      <c r="CZ29" s="52" t="s">
        <v>1200</v>
      </c>
      <c r="DA29" s="52" t="s">
        <v>1200</v>
      </c>
      <c r="DB29" s="52" t="s">
        <v>1200</v>
      </c>
      <c r="DC29" s="52" t="s">
        <v>1200</v>
      </c>
      <c r="DD29" s="52" t="s">
        <v>1200</v>
      </c>
      <c r="DE29" s="52" t="s">
        <v>1200</v>
      </c>
      <c r="DF29" s="52" t="s">
        <v>1200</v>
      </c>
      <c r="DG29" s="52" t="s">
        <v>1200</v>
      </c>
      <c r="DH29" s="52" t="s">
        <v>1200</v>
      </c>
      <c r="DI29" s="52" t="s">
        <v>1200</v>
      </c>
      <c r="DJ29" s="52" t="s">
        <v>1200</v>
      </c>
      <c r="EA29" s="52" t="s">
        <v>1206</v>
      </c>
      <c r="EB29" s="52" t="s">
        <v>1451</v>
      </c>
      <c r="EC29" s="90">
        <v>3</v>
      </c>
      <c r="EK29" s="52">
        <v>99</v>
      </c>
      <c r="EL29" s="52" t="s">
        <v>198</v>
      </c>
      <c r="EM29" s="52" t="s">
        <v>237</v>
      </c>
      <c r="EN29" s="91">
        <v>0.08</v>
      </c>
      <c r="EQ29" s="91">
        <v>0.08</v>
      </c>
      <c r="ER29" s="89">
        <v>28996.52</v>
      </c>
      <c r="ES29" s="89">
        <v>2319.7216000000003</v>
      </c>
      <c r="ET29" s="89">
        <v>3.4799999999995634</v>
      </c>
      <c r="EU29" s="89">
        <v>3.4799999999995634</v>
      </c>
    </row>
    <row r="30" spans="1:151" x14ac:dyDescent="0.25">
      <c r="A30" s="52" t="s">
        <v>1596</v>
      </c>
      <c r="D30" s="52">
        <v>214777108</v>
      </c>
      <c r="E30" s="52" t="s">
        <v>1215</v>
      </c>
      <c r="G30" s="52" t="s">
        <v>1251</v>
      </c>
      <c r="H30" s="52">
        <v>91017</v>
      </c>
      <c r="I30" s="52" t="s">
        <v>1254</v>
      </c>
      <c r="J30" s="52" t="s">
        <v>1252</v>
      </c>
      <c r="K30" s="52" t="s">
        <v>1405</v>
      </c>
      <c r="L30" s="52" t="s">
        <v>1597</v>
      </c>
      <c r="M30" s="52" t="s">
        <v>1250</v>
      </c>
      <c r="O30" s="4">
        <v>42102</v>
      </c>
      <c r="P30" s="4">
        <v>42102</v>
      </c>
      <c r="R30" s="52" t="s">
        <v>74</v>
      </c>
      <c r="S30" s="89">
        <v>-200000</v>
      </c>
      <c r="T30" s="89">
        <v>-200000</v>
      </c>
      <c r="W30" s="89">
        <v>-199950</v>
      </c>
      <c r="Y30" s="52">
        <v>1</v>
      </c>
      <c r="Z30" s="52" t="s">
        <v>75</v>
      </c>
      <c r="AE30" s="52" t="s">
        <v>1406</v>
      </c>
      <c r="AF30" s="52">
        <v>10.462863229011401</v>
      </c>
      <c r="AG30" s="52">
        <v>-10.463410753000099</v>
      </c>
      <c r="AH30" s="52">
        <v>0</v>
      </c>
      <c r="AI30" s="52">
        <v>0</v>
      </c>
      <c r="AJ30" s="52">
        <v>-1.1488759359926899</v>
      </c>
      <c r="AK30" s="52">
        <v>100</v>
      </c>
      <c r="AL30" s="52" t="s">
        <v>1598</v>
      </c>
      <c r="AO30" s="52" t="s">
        <v>92</v>
      </c>
      <c r="AP30" s="52" t="s">
        <v>93</v>
      </c>
      <c r="AQ30" s="52" t="s">
        <v>1599</v>
      </c>
      <c r="AT30" s="52">
        <v>-82.277000000000001</v>
      </c>
      <c r="AU30" s="52">
        <v>600</v>
      </c>
      <c r="AX30" s="52" t="s">
        <v>76</v>
      </c>
      <c r="AY30" s="52" t="s">
        <v>1600</v>
      </c>
      <c r="BA30" s="52" t="s">
        <v>1253</v>
      </c>
      <c r="BG30" s="52">
        <v>500</v>
      </c>
      <c r="BH30" s="52">
        <v>506</v>
      </c>
      <c r="BI30" s="52" t="s">
        <v>1252</v>
      </c>
      <c r="BJ30" s="52" t="s">
        <v>1405</v>
      </c>
      <c r="BK30" s="52">
        <v>1</v>
      </c>
      <c r="CA30" s="52" t="s">
        <v>1410</v>
      </c>
      <c r="CB30" s="52" t="s">
        <v>1174</v>
      </c>
      <c r="CC30" s="52" t="s">
        <v>1174</v>
      </c>
      <c r="CD30" s="52" t="s">
        <v>1428</v>
      </c>
      <c r="CE30" s="52" t="s">
        <v>1429</v>
      </c>
      <c r="CF30" s="52" t="s">
        <v>1429</v>
      </c>
      <c r="CG30" s="52" t="s">
        <v>1429</v>
      </c>
      <c r="CH30" s="52" t="s">
        <v>1429</v>
      </c>
      <c r="CI30" s="52" t="s">
        <v>1429</v>
      </c>
      <c r="CJ30" s="52" t="s">
        <v>1429</v>
      </c>
      <c r="CK30" s="52" t="s">
        <v>1429</v>
      </c>
      <c r="CL30" s="52" t="s">
        <v>1430</v>
      </c>
      <c r="CM30" s="52" t="s">
        <v>1430</v>
      </c>
      <c r="CN30" s="52" t="s">
        <v>1429</v>
      </c>
      <c r="CO30" s="52" t="s">
        <v>499</v>
      </c>
      <c r="CP30" s="52" t="s">
        <v>1431</v>
      </c>
      <c r="CQ30" s="52" t="s">
        <v>1429</v>
      </c>
      <c r="CR30" s="52" t="s">
        <v>1432</v>
      </c>
      <c r="CS30" s="52" t="s">
        <v>1213</v>
      </c>
      <c r="CT30" s="52" t="s">
        <v>1667</v>
      </c>
      <c r="CU30" s="52" t="s">
        <v>1200</v>
      </c>
      <c r="CV30" s="52" t="s">
        <v>1200</v>
      </c>
      <c r="CW30" s="52" t="s">
        <v>1200</v>
      </c>
      <c r="CX30" s="52" t="s">
        <v>1200</v>
      </c>
      <c r="CY30" s="52" t="s">
        <v>1200</v>
      </c>
      <c r="CZ30" s="52" t="s">
        <v>1200</v>
      </c>
      <c r="DA30" s="52" t="s">
        <v>1200</v>
      </c>
      <c r="DB30" s="52" t="s">
        <v>1200</v>
      </c>
      <c r="DC30" s="52" t="s">
        <v>1200</v>
      </c>
      <c r="DD30" s="52" t="s">
        <v>1200</v>
      </c>
      <c r="DE30" s="52" t="s">
        <v>1200</v>
      </c>
      <c r="DF30" s="52" t="s">
        <v>1200</v>
      </c>
      <c r="DG30" s="52" t="s">
        <v>1200</v>
      </c>
      <c r="DH30" s="52" t="s">
        <v>1200</v>
      </c>
      <c r="DI30" s="52" t="s">
        <v>1200</v>
      </c>
      <c r="DJ30" s="52" t="s">
        <v>1200</v>
      </c>
      <c r="EA30" s="52" t="s">
        <v>1206</v>
      </c>
      <c r="EB30" s="52" t="s">
        <v>1451</v>
      </c>
      <c r="EC30" s="90">
        <v>2</v>
      </c>
      <c r="EK30" s="52">
        <v>190</v>
      </c>
      <c r="EL30" s="52" t="s">
        <v>201</v>
      </c>
      <c r="EM30" s="52" t="s">
        <v>235</v>
      </c>
      <c r="EN30" s="91">
        <v>0.01</v>
      </c>
      <c r="EQ30" s="91">
        <v>0.01</v>
      </c>
      <c r="ER30" s="89">
        <v>199950</v>
      </c>
      <c r="ES30" s="89">
        <v>1999.5</v>
      </c>
      <c r="ET30" s="89">
        <v>50</v>
      </c>
      <c r="EU30" s="89">
        <v>50</v>
      </c>
    </row>
    <row r="31" spans="1:151" x14ac:dyDescent="0.25">
      <c r="A31" s="52" t="s">
        <v>1601</v>
      </c>
      <c r="D31" s="52">
        <v>214777109</v>
      </c>
      <c r="E31" s="52" t="s">
        <v>1215</v>
      </c>
      <c r="G31" s="52" t="s">
        <v>1251</v>
      </c>
      <c r="H31" s="52">
        <v>91017</v>
      </c>
      <c r="I31" s="52" t="s">
        <v>1254</v>
      </c>
      <c r="J31" s="52" t="s">
        <v>1252</v>
      </c>
      <c r="K31" s="52" t="s">
        <v>1405</v>
      </c>
      <c r="L31" s="52" t="s">
        <v>1597</v>
      </c>
      <c r="M31" s="52" t="s">
        <v>1250</v>
      </c>
      <c r="O31" s="4">
        <v>42285</v>
      </c>
      <c r="P31" s="4">
        <v>42285</v>
      </c>
      <c r="R31" s="52" t="s">
        <v>74</v>
      </c>
      <c r="S31" s="89">
        <v>-90000</v>
      </c>
      <c r="T31" s="89">
        <v>-90000</v>
      </c>
      <c r="W31" s="89">
        <v>-89992.8</v>
      </c>
      <c r="Y31" s="52">
        <v>1</v>
      </c>
      <c r="Z31" s="52" t="s">
        <v>75</v>
      </c>
      <c r="AE31" s="52" t="s">
        <v>1406</v>
      </c>
      <c r="AF31" s="52">
        <v>9.2207076432969206</v>
      </c>
      <c r="AG31" s="52">
        <v>-9.2216524984978605</v>
      </c>
      <c r="AH31" s="52">
        <v>0</v>
      </c>
      <c r="AI31" s="52">
        <v>0</v>
      </c>
      <c r="AJ31" s="52">
        <v>-0.59628602769225802</v>
      </c>
      <c r="AK31" s="52">
        <v>100</v>
      </c>
      <c r="AL31" s="52" t="s">
        <v>1602</v>
      </c>
      <c r="AO31" s="52" t="s">
        <v>92</v>
      </c>
      <c r="AP31" s="52" t="s">
        <v>93</v>
      </c>
      <c r="AQ31" s="52" t="s">
        <v>1603</v>
      </c>
      <c r="AT31" s="52">
        <v>-151.1319</v>
      </c>
      <c r="AU31" s="52">
        <v>270</v>
      </c>
      <c r="AX31" s="52" t="s">
        <v>76</v>
      </c>
      <c r="AY31" s="52" t="s">
        <v>1604</v>
      </c>
      <c r="BA31" s="52" t="s">
        <v>1253</v>
      </c>
      <c r="BG31" s="52">
        <v>500</v>
      </c>
      <c r="BH31" s="52">
        <v>506</v>
      </c>
      <c r="BI31" s="52" t="s">
        <v>1252</v>
      </c>
      <c r="BJ31" s="52" t="s">
        <v>1405</v>
      </c>
      <c r="BK31" s="52">
        <v>1</v>
      </c>
      <c r="CA31" s="52" t="s">
        <v>1410</v>
      </c>
      <c r="CB31" s="52" t="s">
        <v>1174</v>
      </c>
      <c r="CC31" s="52" t="s">
        <v>1174</v>
      </c>
      <c r="CD31" s="52" t="s">
        <v>1428</v>
      </c>
      <c r="CE31" s="52" t="s">
        <v>1429</v>
      </c>
      <c r="CF31" s="52" t="s">
        <v>1429</v>
      </c>
      <c r="CG31" s="52" t="s">
        <v>1429</v>
      </c>
      <c r="CH31" s="52" t="s">
        <v>1429</v>
      </c>
      <c r="CI31" s="52" t="s">
        <v>1429</v>
      </c>
      <c r="CJ31" s="52" t="s">
        <v>1429</v>
      </c>
      <c r="CK31" s="52" t="s">
        <v>1429</v>
      </c>
      <c r="CL31" s="52" t="s">
        <v>1430</v>
      </c>
      <c r="CM31" s="52" t="s">
        <v>1430</v>
      </c>
      <c r="CN31" s="52" t="s">
        <v>1429</v>
      </c>
      <c r="CO31" s="52" t="s">
        <v>499</v>
      </c>
      <c r="CP31" s="52" t="s">
        <v>1431</v>
      </c>
      <c r="CQ31" s="52" t="s">
        <v>1429</v>
      </c>
      <c r="CR31" s="52" t="s">
        <v>1432</v>
      </c>
      <c r="CS31" s="52" t="s">
        <v>1213</v>
      </c>
      <c r="CT31" s="52" t="s">
        <v>1667</v>
      </c>
      <c r="CU31" s="52" t="s">
        <v>1200</v>
      </c>
      <c r="CV31" s="52" t="s">
        <v>1200</v>
      </c>
      <c r="CW31" s="52" t="s">
        <v>1200</v>
      </c>
      <c r="CX31" s="52" t="s">
        <v>1200</v>
      </c>
      <c r="CY31" s="52" t="s">
        <v>1200</v>
      </c>
      <c r="CZ31" s="52" t="s">
        <v>1200</v>
      </c>
      <c r="DA31" s="52" t="s">
        <v>1200</v>
      </c>
      <c r="DB31" s="52" t="s">
        <v>1200</v>
      </c>
      <c r="DC31" s="52" t="s">
        <v>1200</v>
      </c>
      <c r="DD31" s="52" t="s">
        <v>1200</v>
      </c>
      <c r="DE31" s="52" t="s">
        <v>1200</v>
      </c>
      <c r="DF31" s="52" t="s">
        <v>1200</v>
      </c>
      <c r="DG31" s="52" t="s">
        <v>1200</v>
      </c>
      <c r="DH31" s="52" t="s">
        <v>1200</v>
      </c>
      <c r="DI31" s="52" t="s">
        <v>1200</v>
      </c>
      <c r="DJ31" s="52" t="s">
        <v>1200</v>
      </c>
      <c r="EA31" s="52" t="s">
        <v>1206</v>
      </c>
      <c r="EB31" s="52" t="s">
        <v>1451</v>
      </c>
      <c r="EC31" s="90">
        <v>2</v>
      </c>
      <c r="EK31" s="52">
        <v>373</v>
      </c>
      <c r="EL31" s="52" t="s">
        <v>201</v>
      </c>
      <c r="EM31" s="52" t="s">
        <v>235</v>
      </c>
      <c r="EN31" s="91">
        <v>0.01</v>
      </c>
      <c r="EQ31" s="91">
        <v>0.01</v>
      </c>
      <c r="ER31" s="89">
        <v>89992.8</v>
      </c>
      <c r="ES31" s="89">
        <v>899.928</v>
      </c>
      <c r="ET31" s="89">
        <v>7.1999999999970896</v>
      </c>
      <c r="EU31" s="89">
        <v>7.1999999999970896</v>
      </c>
    </row>
    <row r="32" spans="1:151" x14ac:dyDescent="0.25">
      <c r="A32" s="52" t="s">
        <v>1605</v>
      </c>
      <c r="D32" s="52">
        <v>214777110</v>
      </c>
      <c r="E32" s="52" t="s">
        <v>1215</v>
      </c>
      <c r="G32" s="52" t="s">
        <v>1251</v>
      </c>
      <c r="H32" s="52">
        <v>91017</v>
      </c>
      <c r="I32" s="52" t="s">
        <v>1254</v>
      </c>
      <c r="J32" s="52" t="s">
        <v>1252</v>
      </c>
      <c r="K32" s="52" t="s">
        <v>1405</v>
      </c>
      <c r="L32" s="52" t="s">
        <v>1597</v>
      </c>
      <c r="M32" s="52" t="s">
        <v>1250</v>
      </c>
      <c r="O32" s="4">
        <v>42193</v>
      </c>
      <c r="P32" s="4">
        <v>42193</v>
      </c>
      <c r="R32" s="52" t="s">
        <v>74</v>
      </c>
      <c r="S32" s="89">
        <v>-571000</v>
      </c>
      <c r="T32" s="89">
        <v>-571000</v>
      </c>
      <c r="W32" s="89">
        <v>-570971.44999999995</v>
      </c>
      <c r="Y32" s="52">
        <v>1</v>
      </c>
      <c r="Z32" s="52" t="s">
        <v>75</v>
      </c>
      <c r="AE32" s="52" t="s">
        <v>1406</v>
      </c>
      <c r="AF32" s="52">
        <v>44.111706594005199</v>
      </c>
      <c r="AG32" s="52">
        <v>-44.115114809013903</v>
      </c>
      <c r="AH32" s="52">
        <v>0</v>
      </c>
      <c r="AI32" s="52">
        <v>0</v>
      </c>
      <c r="AJ32" s="52">
        <v>-2.4579825050895998</v>
      </c>
      <c r="AK32" s="52">
        <v>100</v>
      </c>
      <c r="AL32" s="52" t="s">
        <v>1606</v>
      </c>
      <c r="AO32" s="52" t="s">
        <v>92</v>
      </c>
      <c r="AP32" s="52" t="s">
        <v>93</v>
      </c>
      <c r="AQ32" s="52" t="s">
        <v>1607</v>
      </c>
      <c r="AT32" s="52">
        <v>-349.04</v>
      </c>
      <c r="AU32" s="52">
        <v>1713</v>
      </c>
      <c r="AX32" s="52" t="s">
        <v>76</v>
      </c>
      <c r="AY32" s="52" t="s">
        <v>1608</v>
      </c>
      <c r="BA32" s="52" t="s">
        <v>1253</v>
      </c>
      <c r="BG32" s="52">
        <v>500</v>
      </c>
      <c r="BH32" s="52">
        <v>506</v>
      </c>
      <c r="BI32" s="52" t="s">
        <v>1252</v>
      </c>
      <c r="BJ32" s="52" t="s">
        <v>1405</v>
      </c>
      <c r="BK32" s="52">
        <v>1</v>
      </c>
      <c r="CA32" s="52" t="s">
        <v>1410</v>
      </c>
      <c r="CB32" s="52" t="s">
        <v>1174</v>
      </c>
      <c r="CC32" s="52" t="s">
        <v>1174</v>
      </c>
      <c r="CD32" s="52" t="s">
        <v>1428</v>
      </c>
      <c r="CE32" s="52" t="s">
        <v>1429</v>
      </c>
      <c r="CF32" s="52" t="s">
        <v>1429</v>
      </c>
      <c r="CG32" s="52" t="s">
        <v>1429</v>
      </c>
      <c r="CH32" s="52" t="s">
        <v>1429</v>
      </c>
      <c r="CI32" s="52" t="s">
        <v>1429</v>
      </c>
      <c r="CJ32" s="52" t="s">
        <v>1429</v>
      </c>
      <c r="CK32" s="52" t="s">
        <v>1429</v>
      </c>
      <c r="CL32" s="52" t="s">
        <v>1430</v>
      </c>
      <c r="CM32" s="52" t="s">
        <v>1430</v>
      </c>
      <c r="CN32" s="52" t="s">
        <v>1429</v>
      </c>
      <c r="CO32" s="52" t="s">
        <v>499</v>
      </c>
      <c r="CP32" s="52" t="s">
        <v>1431</v>
      </c>
      <c r="CQ32" s="52" t="s">
        <v>1429</v>
      </c>
      <c r="CR32" s="52" t="s">
        <v>1432</v>
      </c>
      <c r="CS32" s="52" t="s">
        <v>1213</v>
      </c>
      <c r="CT32" s="52" t="s">
        <v>1667</v>
      </c>
      <c r="CU32" s="52" t="s">
        <v>1200</v>
      </c>
      <c r="CV32" s="52" t="s">
        <v>1200</v>
      </c>
      <c r="CW32" s="52" t="s">
        <v>1200</v>
      </c>
      <c r="CX32" s="52" t="s">
        <v>1200</v>
      </c>
      <c r="CY32" s="52" t="s">
        <v>1200</v>
      </c>
      <c r="CZ32" s="52" t="s">
        <v>1200</v>
      </c>
      <c r="DA32" s="52" t="s">
        <v>1200</v>
      </c>
      <c r="DB32" s="52" t="s">
        <v>1200</v>
      </c>
      <c r="DC32" s="52" t="s">
        <v>1200</v>
      </c>
      <c r="DD32" s="52" t="s">
        <v>1200</v>
      </c>
      <c r="DE32" s="52" t="s">
        <v>1200</v>
      </c>
      <c r="DF32" s="52" t="s">
        <v>1200</v>
      </c>
      <c r="DG32" s="52" t="s">
        <v>1200</v>
      </c>
      <c r="DH32" s="52" t="s">
        <v>1200</v>
      </c>
      <c r="DI32" s="52" t="s">
        <v>1200</v>
      </c>
      <c r="DJ32" s="52" t="s">
        <v>1200</v>
      </c>
      <c r="EA32" s="52" t="s">
        <v>1206</v>
      </c>
      <c r="EB32" s="52" t="s">
        <v>1451</v>
      </c>
      <c r="EC32" s="90">
        <v>2</v>
      </c>
      <c r="EK32" s="52">
        <v>281</v>
      </c>
      <c r="EL32" s="52" t="s">
        <v>201</v>
      </c>
      <c r="EM32" s="52" t="s">
        <v>235</v>
      </c>
      <c r="EN32" s="91">
        <v>0.01</v>
      </c>
      <c r="EQ32" s="91">
        <v>0.01</v>
      </c>
      <c r="ER32" s="89">
        <v>570971.44999999995</v>
      </c>
      <c r="ES32" s="89">
        <v>5709.7145</v>
      </c>
      <c r="ET32" s="89">
        <v>28.550000000046566</v>
      </c>
      <c r="EU32" s="89">
        <v>28.550000000046566</v>
      </c>
    </row>
    <row r="33" spans="1:151" x14ac:dyDescent="0.25">
      <c r="A33" s="52" t="s">
        <v>1609</v>
      </c>
      <c r="D33" s="52">
        <v>214777111</v>
      </c>
      <c r="E33" s="52" t="s">
        <v>1215</v>
      </c>
      <c r="G33" s="52" t="s">
        <v>1251</v>
      </c>
      <c r="H33" s="52">
        <v>91017</v>
      </c>
      <c r="I33" s="52" t="s">
        <v>1254</v>
      </c>
      <c r="J33" s="52" t="s">
        <v>1252</v>
      </c>
      <c r="K33" s="52" t="s">
        <v>1405</v>
      </c>
      <c r="L33" s="52" t="s">
        <v>1597</v>
      </c>
      <c r="M33" s="52" t="s">
        <v>1250</v>
      </c>
      <c r="O33" s="4">
        <v>42012</v>
      </c>
      <c r="P33" s="4">
        <v>42012</v>
      </c>
      <c r="R33" s="52" t="s">
        <v>74</v>
      </c>
      <c r="S33" s="89">
        <v>-195000</v>
      </c>
      <c r="T33" s="89">
        <v>-195000</v>
      </c>
      <c r="W33" s="89">
        <v>-194951.25</v>
      </c>
      <c r="Y33" s="52">
        <v>1</v>
      </c>
      <c r="Z33" s="52" t="s">
        <v>75</v>
      </c>
      <c r="AE33" s="52" t="s">
        <v>1406</v>
      </c>
      <c r="AF33" s="52">
        <v>5.3944668020121798</v>
      </c>
      <c r="AG33" s="52">
        <v>-5.3946160759951498</v>
      </c>
      <c r="AH33" s="52">
        <v>0</v>
      </c>
      <c r="AI33" s="52">
        <v>0</v>
      </c>
      <c r="AJ33" s="52">
        <v>-1.4225073679990601</v>
      </c>
      <c r="AK33" s="52">
        <v>100</v>
      </c>
      <c r="AL33" s="52" t="s">
        <v>1598</v>
      </c>
      <c r="AO33" s="52" t="s">
        <v>92</v>
      </c>
      <c r="AP33" s="52" t="s">
        <v>93</v>
      </c>
      <c r="AQ33" s="52" t="s">
        <v>1610</v>
      </c>
      <c r="AT33" s="52">
        <v>-17.0305</v>
      </c>
      <c r="AU33" s="52">
        <v>585</v>
      </c>
      <c r="AX33" s="52" t="s">
        <v>76</v>
      </c>
      <c r="AY33" s="52" t="s">
        <v>1611</v>
      </c>
      <c r="BA33" s="52" t="s">
        <v>1253</v>
      </c>
      <c r="BG33" s="52">
        <v>500</v>
      </c>
      <c r="BH33" s="52">
        <v>506</v>
      </c>
      <c r="BI33" s="52" t="s">
        <v>1252</v>
      </c>
      <c r="BJ33" s="52" t="s">
        <v>1405</v>
      </c>
      <c r="BK33" s="52">
        <v>1</v>
      </c>
      <c r="CA33" s="52" t="s">
        <v>1410</v>
      </c>
      <c r="CB33" s="52" t="s">
        <v>1174</v>
      </c>
      <c r="CC33" s="52" t="s">
        <v>1174</v>
      </c>
      <c r="CD33" s="52" t="s">
        <v>1428</v>
      </c>
      <c r="CE33" s="52" t="s">
        <v>1429</v>
      </c>
      <c r="CF33" s="52" t="s">
        <v>1429</v>
      </c>
      <c r="CG33" s="52" t="s">
        <v>1429</v>
      </c>
      <c r="CH33" s="52" t="s">
        <v>1429</v>
      </c>
      <c r="CI33" s="52" t="s">
        <v>1429</v>
      </c>
      <c r="CJ33" s="52" t="s">
        <v>1429</v>
      </c>
      <c r="CK33" s="52" t="s">
        <v>1429</v>
      </c>
      <c r="CL33" s="52" t="s">
        <v>1430</v>
      </c>
      <c r="CM33" s="52" t="s">
        <v>1430</v>
      </c>
      <c r="CN33" s="52" t="s">
        <v>1429</v>
      </c>
      <c r="CO33" s="52" t="s">
        <v>499</v>
      </c>
      <c r="CP33" s="52" t="s">
        <v>1431</v>
      </c>
      <c r="CQ33" s="52" t="s">
        <v>1429</v>
      </c>
      <c r="CR33" s="52" t="s">
        <v>1432</v>
      </c>
      <c r="CS33" s="52" t="s">
        <v>1213</v>
      </c>
      <c r="CT33" s="52" t="s">
        <v>1667</v>
      </c>
      <c r="CU33" s="52" t="s">
        <v>1200</v>
      </c>
      <c r="CV33" s="52" t="s">
        <v>1200</v>
      </c>
      <c r="CW33" s="52" t="s">
        <v>1200</v>
      </c>
      <c r="CX33" s="52" t="s">
        <v>1200</v>
      </c>
      <c r="CY33" s="52" t="s">
        <v>1200</v>
      </c>
      <c r="CZ33" s="52" t="s">
        <v>1200</v>
      </c>
      <c r="DA33" s="52" t="s">
        <v>1200</v>
      </c>
      <c r="DB33" s="52" t="s">
        <v>1200</v>
      </c>
      <c r="DC33" s="52" t="s">
        <v>1200</v>
      </c>
      <c r="DD33" s="52" t="s">
        <v>1200</v>
      </c>
      <c r="DE33" s="52" t="s">
        <v>1200</v>
      </c>
      <c r="DF33" s="52" t="s">
        <v>1200</v>
      </c>
      <c r="DG33" s="52" t="s">
        <v>1200</v>
      </c>
      <c r="DH33" s="52" t="s">
        <v>1200</v>
      </c>
      <c r="DI33" s="52" t="s">
        <v>1200</v>
      </c>
      <c r="DJ33" s="52" t="s">
        <v>1200</v>
      </c>
      <c r="EA33" s="52" t="s">
        <v>1206</v>
      </c>
      <c r="EB33" s="52" t="s">
        <v>1451</v>
      </c>
      <c r="EC33" s="90">
        <v>2</v>
      </c>
      <c r="EK33" s="52">
        <v>100</v>
      </c>
      <c r="EL33" s="52" t="s">
        <v>198</v>
      </c>
      <c r="EM33" s="52" t="s">
        <v>234</v>
      </c>
      <c r="EN33" s="91">
        <v>2.5000000000000001E-3</v>
      </c>
      <c r="EQ33" s="91">
        <v>2.5000000000000001E-3</v>
      </c>
      <c r="ER33" s="89">
        <v>194951.25</v>
      </c>
      <c r="ES33" s="89">
        <v>487.37812500000001</v>
      </c>
      <c r="ET33" s="89">
        <v>48.75</v>
      </c>
      <c r="EU33" s="89">
        <v>48.75</v>
      </c>
    </row>
    <row r="34" spans="1:151" x14ac:dyDescent="0.25">
      <c r="A34" s="52" t="s">
        <v>1612</v>
      </c>
      <c r="D34" s="52">
        <v>214777116</v>
      </c>
      <c r="E34" s="52" t="s">
        <v>1215</v>
      </c>
      <c r="G34" s="52" t="s">
        <v>1251</v>
      </c>
      <c r="H34" s="52">
        <v>91017</v>
      </c>
      <c r="I34" s="52" t="s">
        <v>1254</v>
      </c>
      <c r="J34" s="52" t="s">
        <v>1252</v>
      </c>
      <c r="K34" s="52" t="s">
        <v>1405</v>
      </c>
      <c r="L34" s="52" t="s">
        <v>1613</v>
      </c>
      <c r="M34" s="52" t="s">
        <v>1250</v>
      </c>
      <c r="O34" s="4">
        <v>41990</v>
      </c>
      <c r="P34" s="4">
        <v>41990</v>
      </c>
      <c r="R34" s="52" t="s">
        <v>74</v>
      </c>
      <c r="S34" s="89">
        <v>-495000</v>
      </c>
      <c r="T34" s="89">
        <v>-495000</v>
      </c>
      <c r="W34" s="89">
        <v>-494792.1</v>
      </c>
      <c r="Y34" s="52">
        <v>1</v>
      </c>
      <c r="Z34" s="52" t="s">
        <v>75</v>
      </c>
      <c r="AE34" s="52" t="s">
        <v>1406</v>
      </c>
      <c r="AF34" s="52">
        <v>10.709082983958099</v>
      </c>
      <c r="AG34" s="52">
        <v>-10.7093147720443</v>
      </c>
      <c r="AH34" s="52">
        <v>0</v>
      </c>
      <c r="AI34" s="52">
        <v>0</v>
      </c>
      <c r="AJ34" s="52">
        <v>-3.2262390360119801</v>
      </c>
      <c r="AK34" s="52">
        <v>100</v>
      </c>
      <c r="AL34" s="52" t="s">
        <v>1614</v>
      </c>
      <c r="AO34" s="52" t="s">
        <v>92</v>
      </c>
      <c r="AP34" s="52" t="s">
        <v>93</v>
      </c>
      <c r="AQ34" s="52" t="s">
        <v>1615</v>
      </c>
      <c r="AT34" s="52">
        <v>-31.645600000000002</v>
      </c>
      <c r="AU34" s="52">
        <v>1485</v>
      </c>
      <c r="AX34" s="52" t="s">
        <v>76</v>
      </c>
      <c r="AY34" s="52" t="s">
        <v>1616</v>
      </c>
      <c r="BA34" s="52" t="s">
        <v>1253</v>
      </c>
      <c r="BG34" s="52">
        <v>500</v>
      </c>
      <c r="BH34" s="52">
        <v>506</v>
      </c>
      <c r="BI34" s="52" t="s">
        <v>1252</v>
      </c>
      <c r="BJ34" s="52" t="s">
        <v>1405</v>
      </c>
      <c r="BK34" s="52">
        <v>1</v>
      </c>
      <c r="CA34" s="52" t="s">
        <v>1410</v>
      </c>
      <c r="CB34" s="52" t="s">
        <v>1174</v>
      </c>
      <c r="CC34" s="52" t="s">
        <v>1174</v>
      </c>
      <c r="CD34" s="52" t="s">
        <v>1428</v>
      </c>
      <c r="CE34" s="52" t="s">
        <v>1429</v>
      </c>
      <c r="CF34" s="52" t="s">
        <v>1429</v>
      </c>
      <c r="CG34" s="52" t="s">
        <v>1429</v>
      </c>
      <c r="CH34" s="52" t="s">
        <v>1429</v>
      </c>
      <c r="CI34" s="52" t="s">
        <v>1429</v>
      </c>
      <c r="CJ34" s="52" t="s">
        <v>1429</v>
      </c>
      <c r="CK34" s="52" t="s">
        <v>1429</v>
      </c>
      <c r="CL34" s="52" t="s">
        <v>1430</v>
      </c>
      <c r="CM34" s="52" t="s">
        <v>1430</v>
      </c>
      <c r="CN34" s="52" t="s">
        <v>1429</v>
      </c>
      <c r="CO34" s="52" t="s">
        <v>833</v>
      </c>
      <c r="CP34" s="52" t="s">
        <v>1431</v>
      </c>
      <c r="CQ34" s="52" t="s">
        <v>1429</v>
      </c>
      <c r="CR34" s="52" t="s">
        <v>1432</v>
      </c>
      <c r="CS34" s="52" t="s">
        <v>1213</v>
      </c>
      <c r="CT34" s="52" t="s">
        <v>1668</v>
      </c>
      <c r="CU34" s="52" t="s">
        <v>1200</v>
      </c>
      <c r="CV34" s="52" t="s">
        <v>1200</v>
      </c>
      <c r="CW34" s="52" t="s">
        <v>1200</v>
      </c>
      <c r="CX34" s="52" t="s">
        <v>1200</v>
      </c>
      <c r="CY34" s="52" t="s">
        <v>1200</v>
      </c>
      <c r="CZ34" s="52" t="s">
        <v>1200</v>
      </c>
      <c r="DA34" s="52" t="s">
        <v>1200</v>
      </c>
      <c r="DB34" s="52" t="s">
        <v>1200</v>
      </c>
      <c r="DC34" s="52" t="s">
        <v>1200</v>
      </c>
      <c r="DD34" s="52" t="s">
        <v>1200</v>
      </c>
      <c r="DE34" s="52" t="s">
        <v>1200</v>
      </c>
      <c r="DF34" s="52" t="s">
        <v>1200</v>
      </c>
      <c r="DG34" s="52" t="s">
        <v>1200</v>
      </c>
      <c r="DH34" s="52" t="s">
        <v>1200</v>
      </c>
      <c r="DI34" s="52" t="s">
        <v>1200</v>
      </c>
      <c r="DJ34" s="52" t="s">
        <v>1200</v>
      </c>
      <c r="EA34" s="52" t="s">
        <v>1206</v>
      </c>
      <c r="EB34" s="52" t="s">
        <v>1451</v>
      </c>
      <c r="EC34" s="90" t="s">
        <v>1414</v>
      </c>
      <c r="EK34" s="52">
        <v>78</v>
      </c>
      <c r="EL34" s="52" t="s">
        <v>198</v>
      </c>
      <c r="EM34" s="52" t="s">
        <v>1416</v>
      </c>
      <c r="EN34" s="91">
        <v>2.5000000000000001E-3</v>
      </c>
      <c r="EQ34" s="91">
        <v>2.5000000000000001E-3</v>
      </c>
      <c r="ER34" s="89">
        <v>494792.1</v>
      </c>
      <c r="ES34" s="89">
        <v>1236.9802500000001</v>
      </c>
      <c r="ET34" s="89">
        <v>207.90000000002328</v>
      </c>
      <c r="EU34" s="89">
        <v>207.90000000002328</v>
      </c>
    </row>
    <row r="35" spans="1:151" x14ac:dyDescent="0.25">
      <c r="A35" s="52" t="s">
        <v>1617</v>
      </c>
      <c r="D35" s="52">
        <v>214777118</v>
      </c>
      <c r="E35" s="52" t="s">
        <v>1215</v>
      </c>
      <c r="G35" s="52" t="s">
        <v>1251</v>
      </c>
      <c r="H35" s="52">
        <v>91017</v>
      </c>
      <c r="I35" s="52" t="s">
        <v>1254</v>
      </c>
      <c r="J35" s="52" t="s">
        <v>1252</v>
      </c>
      <c r="K35" s="52" t="s">
        <v>1405</v>
      </c>
      <c r="L35" s="52" t="s">
        <v>1468</v>
      </c>
      <c r="M35" s="52" t="s">
        <v>1250</v>
      </c>
      <c r="O35" s="4">
        <v>42285</v>
      </c>
      <c r="P35" s="4">
        <v>42285</v>
      </c>
      <c r="R35" s="52" t="s">
        <v>74</v>
      </c>
      <c r="S35" s="89">
        <v>-2000</v>
      </c>
      <c r="T35" s="89">
        <v>-2000</v>
      </c>
      <c r="W35" s="89">
        <v>-1996.84</v>
      </c>
      <c r="Y35" s="52">
        <v>1</v>
      </c>
      <c r="Z35" s="52" t="s">
        <v>75</v>
      </c>
      <c r="AE35" s="52" t="s">
        <v>1406</v>
      </c>
      <c r="AF35" s="52">
        <v>0.20459723279986999</v>
      </c>
      <c r="AG35" s="52">
        <v>-0.204618198099979</v>
      </c>
      <c r="AH35" s="52">
        <v>0</v>
      </c>
      <c r="AI35" s="52">
        <v>0</v>
      </c>
      <c r="AJ35" s="52">
        <v>-1.3261546400144699E-2</v>
      </c>
      <c r="AK35" s="52">
        <v>100</v>
      </c>
      <c r="AL35" s="52" t="s">
        <v>1618</v>
      </c>
      <c r="AO35" s="52" t="s">
        <v>92</v>
      </c>
      <c r="AP35" s="52" t="s">
        <v>93</v>
      </c>
      <c r="AQ35" s="52" t="s">
        <v>1619</v>
      </c>
      <c r="AT35" s="52">
        <v>-3.3534000000000002</v>
      </c>
      <c r="AU35" s="52">
        <v>6</v>
      </c>
      <c r="AX35" s="52" t="s">
        <v>76</v>
      </c>
      <c r="AY35" s="52" t="s">
        <v>1620</v>
      </c>
      <c r="BA35" s="52" t="s">
        <v>1253</v>
      </c>
      <c r="BG35" s="52">
        <v>500</v>
      </c>
      <c r="BH35" s="52">
        <v>506</v>
      </c>
      <c r="BI35" s="52" t="s">
        <v>1252</v>
      </c>
      <c r="BJ35" s="52" t="s">
        <v>1405</v>
      </c>
      <c r="BK35" s="52">
        <v>1</v>
      </c>
      <c r="CA35" s="52" t="s">
        <v>1410</v>
      </c>
      <c r="CB35" s="52" t="s">
        <v>1174</v>
      </c>
      <c r="CC35" s="52" t="s">
        <v>1174</v>
      </c>
      <c r="CD35" s="52" t="s">
        <v>1428</v>
      </c>
      <c r="CE35" s="52" t="s">
        <v>1429</v>
      </c>
      <c r="CF35" s="52" t="s">
        <v>1429</v>
      </c>
      <c r="CG35" s="52" t="s">
        <v>1429</v>
      </c>
      <c r="CH35" s="52" t="s">
        <v>1429</v>
      </c>
      <c r="CI35" s="52" t="s">
        <v>1429</v>
      </c>
      <c r="CJ35" s="52" t="s">
        <v>1429</v>
      </c>
      <c r="CK35" s="52" t="s">
        <v>1429</v>
      </c>
      <c r="CL35" s="52" t="s">
        <v>1430</v>
      </c>
      <c r="CM35" s="52" t="s">
        <v>1430</v>
      </c>
      <c r="CN35" s="52" t="s">
        <v>1429</v>
      </c>
      <c r="CO35" s="52" t="s">
        <v>833</v>
      </c>
      <c r="CP35" s="52" t="s">
        <v>1431</v>
      </c>
      <c r="CQ35" s="52" t="s">
        <v>1429</v>
      </c>
      <c r="CR35" s="52" t="s">
        <v>1432</v>
      </c>
      <c r="CS35" s="52" t="s">
        <v>1213</v>
      </c>
      <c r="CT35" s="52" t="s">
        <v>1483</v>
      </c>
      <c r="CU35" s="52" t="s">
        <v>322</v>
      </c>
      <c r="CV35" s="52">
        <v>5367</v>
      </c>
      <c r="CW35" s="52">
        <v>68531</v>
      </c>
      <c r="CX35" s="52">
        <v>461.90439999999995</v>
      </c>
      <c r="CY35" s="52">
        <v>64.39</v>
      </c>
      <c r="CZ35" s="52">
        <v>62.37</v>
      </c>
      <c r="DA35" s="52">
        <v>61.06</v>
      </c>
      <c r="DB35" s="52">
        <v>61.98</v>
      </c>
      <c r="DC35" s="52">
        <v>59.13</v>
      </c>
      <c r="DD35" s="52">
        <v>55.9</v>
      </c>
      <c r="DE35" s="52">
        <v>58.19</v>
      </c>
      <c r="DF35" s="52">
        <v>57.38</v>
      </c>
      <c r="DG35" s="52">
        <v>53.65</v>
      </c>
      <c r="DH35" s="52">
        <v>55.95</v>
      </c>
      <c r="DI35" s="52">
        <v>53.3</v>
      </c>
      <c r="DJ35" s="52">
        <v>51.88</v>
      </c>
      <c r="EA35" s="52" t="s">
        <v>1206</v>
      </c>
      <c r="EB35" s="52" t="s">
        <v>1451</v>
      </c>
      <c r="EC35" s="90" t="s">
        <v>1414</v>
      </c>
      <c r="EK35" s="52">
        <v>373</v>
      </c>
      <c r="EL35" s="52" t="s">
        <v>201</v>
      </c>
      <c r="EM35" s="52" t="s">
        <v>1417</v>
      </c>
      <c r="EN35" s="91">
        <v>0.01</v>
      </c>
      <c r="EQ35" s="91">
        <v>0.01</v>
      </c>
      <c r="ER35" s="89">
        <v>1996.84</v>
      </c>
      <c r="ES35" s="89">
        <v>19.968399999999999</v>
      </c>
      <c r="ET35" s="89">
        <v>3.1600000000000819</v>
      </c>
      <c r="EU35" s="89">
        <v>3.1600000000000819</v>
      </c>
    </row>
    <row r="36" spans="1:151" x14ac:dyDescent="0.25">
      <c r="A36" s="52" t="s">
        <v>1621</v>
      </c>
      <c r="D36" s="52">
        <v>214777120</v>
      </c>
      <c r="E36" s="52" t="s">
        <v>1215</v>
      </c>
      <c r="G36" s="52" t="s">
        <v>1251</v>
      </c>
      <c r="H36" s="52">
        <v>91017</v>
      </c>
      <c r="I36" s="52" t="s">
        <v>1254</v>
      </c>
      <c r="J36" s="52" t="s">
        <v>1252</v>
      </c>
      <c r="K36" s="52" t="s">
        <v>1405</v>
      </c>
      <c r="L36" s="52" t="s">
        <v>1468</v>
      </c>
      <c r="M36" s="52" t="s">
        <v>1250</v>
      </c>
      <c r="O36" s="4">
        <v>42285</v>
      </c>
      <c r="P36" s="4">
        <v>42285</v>
      </c>
      <c r="R36" s="52" t="s">
        <v>74</v>
      </c>
      <c r="S36" s="89">
        <v>-500000</v>
      </c>
      <c r="T36" s="89">
        <v>-500000</v>
      </c>
      <c r="W36" s="89">
        <v>-499461</v>
      </c>
      <c r="Y36" s="52">
        <v>1</v>
      </c>
      <c r="Z36" s="52" t="s">
        <v>75</v>
      </c>
      <c r="AE36" s="52" t="s">
        <v>1406</v>
      </c>
      <c r="AF36" s="52">
        <v>51.175025783013602</v>
      </c>
      <c r="AG36" s="52">
        <v>-51.180269739008502</v>
      </c>
      <c r="AH36" s="52">
        <v>0</v>
      </c>
      <c r="AI36" s="52">
        <v>0</v>
      </c>
      <c r="AJ36" s="52">
        <v>-3.3118230359977998</v>
      </c>
      <c r="AK36" s="52">
        <v>100</v>
      </c>
      <c r="AL36" s="52" t="s">
        <v>1622</v>
      </c>
      <c r="AO36" s="52" t="s">
        <v>92</v>
      </c>
      <c r="AP36" s="52" t="s">
        <v>93</v>
      </c>
      <c r="AQ36" s="52" t="s">
        <v>1623</v>
      </c>
      <c r="AT36" s="52">
        <v>-838.78359999999998</v>
      </c>
      <c r="AU36" s="52">
        <v>1500</v>
      </c>
      <c r="AX36" s="52" t="s">
        <v>76</v>
      </c>
      <c r="AY36" s="52" t="s">
        <v>1624</v>
      </c>
      <c r="BA36" s="52" t="s">
        <v>1253</v>
      </c>
      <c r="BG36" s="52">
        <v>500</v>
      </c>
      <c r="BH36" s="52">
        <v>506</v>
      </c>
      <c r="BI36" s="52" t="s">
        <v>1252</v>
      </c>
      <c r="BJ36" s="52" t="s">
        <v>1405</v>
      </c>
      <c r="BK36" s="52">
        <v>1</v>
      </c>
      <c r="CA36" s="52" t="s">
        <v>1410</v>
      </c>
      <c r="CB36" s="52" t="s">
        <v>1174</v>
      </c>
      <c r="CC36" s="52" t="s">
        <v>1174</v>
      </c>
      <c r="CD36" s="52" t="s">
        <v>1428</v>
      </c>
      <c r="CE36" s="52" t="s">
        <v>1429</v>
      </c>
      <c r="CF36" s="52" t="s">
        <v>1429</v>
      </c>
      <c r="CG36" s="52" t="s">
        <v>1429</v>
      </c>
      <c r="CH36" s="52" t="s">
        <v>1429</v>
      </c>
      <c r="CI36" s="52" t="s">
        <v>1429</v>
      </c>
      <c r="CJ36" s="52" t="s">
        <v>1429</v>
      </c>
      <c r="CK36" s="52" t="s">
        <v>1429</v>
      </c>
      <c r="CL36" s="52" t="s">
        <v>1430</v>
      </c>
      <c r="CM36" s="52" t="s">
        <v>1430</v>
      </c>
      <c r="CN36" s="52" t="s">
        <v>1429</v>
      </c>
      <c r="CO36" s="52" t="s">
        <v>833</v>
      </c>
      <c r="CP36" s="52" t="s">
        <v>1431</v>
      </c>
      <c r="CQ36" s="52" t="s">
        <v>1429</v>
      </c>
      <c r="CR36" s="52" t="s">
        <v>1432</v>
      </c>
      <c r="CS36" s="52" t="s">
        <v>1213</v>
      </c>
      <c r="CT36" s="52" t="s">
        <v>1483</v>
      </c>
      <c r="CU36" s="52" t="s">
        <v>322</v>
      </c>
      <c r="CV36" s="52">
        <v>5367</v>
      </c>
      <c r="CW36" s="52">
        <v>68531</v>
      </c>
      <c r="CX36" s="52">
        <v>461.90439999999995</v>
      </c>
      <c r="CY36" s="52">
        <v>64.39</v>
      </c>
      <c r="CZ36" s="52">
        <v>62.37</v>
      </c>
      <c r="DA36" s="52">
        <v>61.06</v>
      </c>
      <c r="DB36" s="52">
        <v>61.98</v>
      </c>
      <c r="DC36" s="52">
        <v>59.13</v>
      </c>
      <c r="DD36" s="52">
        <v>55.9</v>
      </c>
      <c r="DE36" s="52">
        <v>58.19</v>
      </c>
      <c r="DF36" s="52">
        <v>57.38</v>
      </c>
      <c r="DG36" s="52">
        <v>53.65</v>
      </c>
      <c r="DH36" s="52">
        <v>55.95</v>
      </c>
      <c r="DI36" s="52">
        <v>53.3</v>
      </c>
      <c r="DJ36" s="52">
        <v>51.88</v>
      </c>
      <c r="EA36" s="52" t="s">
        <v>1206</v>
      </c>
      <c r="EB36" s="52" t="s">
        <v>1451</v>
      </c>
      <c r="EC36" s="90" t="s">
        <v>1414</v>
      </c>
      <c r="EK36" s="52">
        <v>373</v>
      </c>
      <c r="EL36" s="52" t="s">
        <v>201</v>
      </c>
      <c r="EM36" s="52" t="s">
        <v>1417</v>
      </c>
      <c r="EN36" s="91">
        <v>0.01</v>
      </c>
      <c r="EQ36" s="91">
        <v>0.01</v>
      </c>
      <c r="ER36" s="89">
        <v>499461</v>
      </c>
      <c r="ES36" s="89">
        <v>4994.6099999999997</v>
      </c>
      <c r="ET36" s="89">
        <v>539</v>
      </c>
      <c r="EU36" s="89">
        <v>539</v>
      </c>
    </row>
    <row r="37" spans="1:151" x14ac:dyDescent="0.25">
      <c r="A37" s="52" t="s">
        <v>1625</v>
      </c>
      <c r="D37" s="52">
        <v>214777122</v>
      </c>
      <c r="E37" s="52" t="s">
        <v>1215</v>
      </c>
      <c r="G37" s="52" t="s">
        <v>1251</v>
      </c>
      <c r="H37" s="52">
        <v>91017</v>
      </c>
      <c r="I37" s="52" t="s">
        <v>1254</v>
      </c>
      <c r="J37" s="52" t="s">
        <v>1252</v>
      </c>
      <c r="K37" s="52" t="s">
        <v>1405</v>
      </c>
      <c r="L37" s="52" t="s">
        <v>1464</v>
      </c>
      <c r="M37" s="52" t="s">
        <v>1250</v>
      </c>
      <c r="O37" s="4">
        <v>42292</v>
      </c>
      <c r="P37" s="4">
        <v>42292</v>
      </c>
      <c r="R37" s="52" t="s">
        <v>74</v>
      </c>
      <c r="S37" s="89">
        <v>-498000</v>
      </c>
      <c r="T37" s="89">
        <v>-498000</v>
      </c>
      <c r="W37" s="89">
        <v>-496685.28</v>
      </c>
      <c r="Y37" s="52">
        <v>1</v>
      </c>
      <c r="Z37" s="52" t="s">
        <v>75</v>
      </c>
      <c r="AE37" s="52" t="s">
        <v>1406</v>
      </c>
      <c r="AF37" s="52">
        <v>51.843072713003501</v>
      </c>
      <c r="AG37" s="52">
        <v>-51.848484559974203</v>
      </c>
      <c r="AH37" s="52">
        <v>0</v>
      </c>
      <c r="AI37" s="52">
        <v>0</v>
      </c>
      <c r="AJ37" s="52">
        <v>-3.22143398999469</v>
      </c>
      <c r="AK37" s="52">
        <v>100</v>
      </c>
      <c r="AL37" s="52" t="s">
        <v>1626</v>
      </c>
      <c r="AO37" s="52" t="s">
        <v>92</v>
      </c>
      <c r="AP37" s="52" t="s">
        <v>93</v>
      </c>
      <c r="AQ37" s="52" t="s">
        <v>1627</v>
      </c>
      <c r="AT37" s="52">
        <v>-849.7473</v>
      </c>
      <c r="AU37" s="52">
        <v>1494</v>
      </c>
      <c r="AX37" s="52" t="s">
        <v>76</v>
      </c>
      <c r="AY37" s="52" t="s">
        <v>1628</v>
      </c>
      <c r="BA37" s="52" t="s">
        <v>1253</v>
      </c>
      <c r="BG37" s="52">
        <v>500</v>
      </c>
      <c r="BH37" s="52">
        <v>506</v>
      </c>
      <c r="BI37" s="52" t="s">
        <v>1252</v>
      </c>
      <c r="BJ37" s="52" t="s">
        <v>1405</v>
      </c>
      <c r="BK37" s="52">
        <v>1</v>
      </c>
      <c r="CA37" s="52" t="s">
        <v>1410</v>
      </c>
      <c r="CB37" s="52" t="s">
        <v>1174</v>
      </c>
      <c r="CC37" s="52" t="s">
        <v>1174</v>
      </c>
      <c r="CD37" s="52" t="s">
        <v>1428</v>
      </c>
      <c r="CE37" s="52" t="s">
        <v>1429</v>
      </c>
      <c r="CF37" s="52" t="s">
        <v>1429</v>
      </c>
      <c r="CG37" s="52" t="s">
        <v>1429</v>
      </c>
      <c r="CH37" s="52" t="s">
        <v>1429</v>
      </c>
      <c r="CI37" s="52" t="s">
        <v>1429</v>
      </c>
      <c r="CJ37" s="52" t="s">
        <v>1429</v>
      </c>
      <c r="CK37" s="52" t="s">
        <v>1429</v>
      </c>
      <c r="CL37" s="52" t="s">
        <v>1430</v>
      </c>
      <c r="CM37" s="52" t="s">
        <v>1430</v>
      </c>
      <c r="CN37" s="52" t="s">
        <v>1429</v>
      </c>
      <c r="CO37" s="52" t="s">
        <v>833</v>
      </c>
      <c r="CP37" s="52" t="s">
        <v>1431</v>
      </c>
      <c r="CQ37" s="52" t="s">
        <v>1429</v>
      </c>
      <c r="CR37" s="52" t="s">
        <v>1432</v>
      </c>
      <c r="CS37" s="52" t="s">
        <v>1213</v>
      </c>
      <c r="CT37" s="52" t="s">
        <v>1480</v>
      </c>
      <c r="CU37" s="52" t="s">
        <v>322</v>
      </c>
      <c r="CV37" s="52" t="s">
        <v>1430</v>
      </c>
      <c r="CW37" s="52">
        <v>16019.971</v>
      </c>
      <c r="CX37" s="52">
        <v>122.9302</v>
      </c>
      <c r="CY37" s="52">
        <v>17.66</v>
      </c>
      <c r="CZ37" s="52">
        <v>18.88</v>
      </c>
      <c r="DA37" s="52">
        <v>19</v>
      </c>
      <c r="DB37" s="52">
        <v>20.16</v>
      </c>
      <c r="DC37" s="52">
        <v>19.05</v>
      </c>
      <c r="DD37" s="52">
        <v>18.72</v>
      </c>
      <c r="DE37" s="52">
        <v>19.73</v>
      </c>
      <c r="DF37" s="52">
        <v>17.920000000000002</v>
      </c>
      <c r="DG37" s="52">
        <v>17.809999999999999</v>
      </c>
      <c r="DH37" s="52">
        <v>18.34</v>
      </c>
      <c r="DI37" s="52">
        <v>17.07</v>
      </c>
      <c r="DJ37" s="52">
        <v>15.12</v>
      </c>
      <c r="EA37" s="52" t="s">
        <v>1206</v>
      </c>
      <c r="EB37" s="52" t="s">
        <v>1451</v>
      </c>
      <c r="EC37" s="90" t="s">
        <v>1414</v>
      </c>
      <c r="EK37" s="52">
        <v>380</v>
      </c>
      <c r="EL37" s="52" t="s">
        <v>201</v>
      </c>
      <c r="EM37" s="52" t="s">
        <v>1417</v>
      </c>
      <c r="EN37" s="91">
        <v>0.01</v>
      </c>
      <c r="EQ37" s="91">
        <v>0.01</v>
      </c>
      <c r="ER37" s="89">
        <v>496685.28</v>
      </c>
      <c r="ES37" s="89">
        <v>4966.8528000000006</v>
      </c>
      <c r="ET37" s="89">
        <v>1314.7199999999721</v>
      </c>
      <c r="EU37" s="89">
        <v>1314.7199999999721</v>
      </c>
    </row>
    <row r="38" spans="1:151" x14ac:dyDescent="0.25">
      <c r="A38" s="52" t="s">
        <v>1629</v>
      </c>
      <c r="D38" s="52">
        <v>214777131</v>
      </c>
      <c r="E38" s="52" t="s">
        <v>1215</v>
      </c>
      <c r="G38" s="52" t="s">
        <v>1251</v>
      </c>
      <c r="H38" s="52">
        <v>91017</v>
      </c>
      <c r="I38" s="52" t="s">
        <v>1254</v>
      </c>
      <c r="J38" s="52" t="s">
        <v>1252</v>
      </c>
      <c r="K38" s="52" t="s">
        <v>1405</v>
      </c>
      <c r="L38" s="52" t="s">
        <v>1426</v>
      </c>
      <c r="M38" s="52" t="s">
        <v>1250</v>
      </c>
      <c r="O38" s="4">
        <v>42285</v>
      </c>
      <c r="P38" s="4">
        <v>42285</v>
      </c>
      <c r="R38" s="52" t="s">
        <v>74</v>
      </c>
      <c r="S38" s="89">
        <v>-547000</v>
      </c>
      <c r="T38" s="89">
        <v>-547000</v>
      </c>
      <c r="W38" s="89">
        <v>-545867.71</v>
      </c>
      <c r="Y38" s="52">
        <v>1</v>
      </c>
      <c r="Z38" s="52" t="s">
        <v>75</v>
      </c>
      <c r="AE38" s="52" t="s">
        <v>1406</v>
      </c>
      <c r="AF38" s="52">
        <v>55.929880677955197</v>
      </c>
      <c r="AG38" s="52">
        <v>-55.935611869092099</v>
      </c>
      <c r="AH38" s="52">
        <v>0</v>
      </c>
      <c r="AI38" s="52">
        <v>0</v>
      </c>
      <c r="AJ38" s="52">
        <v>-3.6134250920731601</v>
      </c>
      <c r="AK38" s="52">
        <v>100</v>
      </c>
      <c r="AL38" s="52" t="s">
        <v>1467</v>
      </c>
      <c r="AO38" s="52" t="s">
        <v>92</v>
      </c>
      <c r="AP38" s="52" t="s">
        <v>93</v>
      </c>
      <c r="AQ38" s="52" t="s">
        <v>1630</v>
      </c>
      <c r="AT38" s="52">
        <v>-916.71799999999996</v>
      </c>
      <c r="AU38" s="52">
        <v>1641</v>
      </c>
      <c r="AX38" s="52" t="s">
        <v>76</v>
      </c>
      <c r="AY38" s="52" t="s">
        <v>1631</v>
      </c>
      <c r="BA38" s="52" t="s">
        <v>1253</v>
      </c>
      <c r="BG38" s="52">
        <v>500</v>
      </c>
      <c r="BH38" s="52">
        <v>506</v>
      </c>
      <c r="BI38" s="52" t="s">
        <v>1252</v>
      </c>
      <c r="BJ38" s="52" t="s">
        <v>1405</v>
      </c>
      <c r="BK38" s="52">
        <v>1</v>
      </c>
      <c r="CA38" s="52" t="s">
        <v>1410</v>
      </c>
      <c r="CB38" s="52" t="s">
        <v>1174</v>
      </c>
      <c r="CC38" s="52" t="s">
        <v>1174</v>
      </c>
      <c r="CD38" s="52" t="s">
        <v>1428</v>
      </c>
      <c r="CE38" s="52" t="s">
        <v>1429</v>
      </c>
      <c r="CF38" s="52" t="s">
        <v>1429</v>
      </c>
      <c r="CG38" s="52" t="s">
        <v>1429</v>
      </c>
      <c r="CH38" s="52" t="s">
        <v>1429</v>
      </c>
      <c r="CI38" s="52" t="s">
        <v>1429</v>
      </c>
      <c r="CJ38" s="52" t="s">
        <v>1429</v>
      </c>
      <c r="CK38" s="52" t="s">
        <v>1429</v>
      </c>
      <c r="CL38" s="52" t="s">
        <v>1430</v>
      </c>
      <c r="CM38" s="52" t="s">
        <v>1430</v>
      </c>
      <c r="CN38" s="52" t="s">
        <v>1429</v>
      </c>
      <c r="CO38" s="52" t="s">
        <v>833</v>
      </c>
      <c r="CP38" s="52" t="s">
        <v>1431</v>
      </c>
      <c r="CQ38" s="52" t="s">
        <v>1429</v>
      </c>
      <c r="CR38" s="52" t="s">
        <v>1432</v>
      </c>
      <c r="CS38" s="52" t="s">
        <v>1213</v>
      </c>
      <c r="CT38" s="52" t="s">
        <v>81</v>
      </c>
      <c r="CU38" s="52" t="s">
        <v>322</v>
      </c>
      <c r="CV38" s="52">
        <v>19283</v>
      </c>
      <c r="CW38" s="52">
        <v>832714</v>
      </c>
      <c r="CX38" s="52">
        <v>440.57989999999995</v>
      </c>
      <c r="CY38" s="52">
        <v>183.57</v>
      </c>
      <c r="CZ38" s="52">
        <v>179.11</v>
      </c>
      <c r="DA38" s="52">
        <v>172.87</v>
      </c>
      <c r="DB38" s="52">
        <v>167.44</v>
      </c>
      <c r="DC38" s="52">
        <v>159.81</v>
      </c>
      <c r="DD38" s="52">
        <v>159.82</v>
      </c>
      <c r="DE38" s="52">
        <v>163.85</v>
      </c>
      <c r="DF38" s="52">
        <v>166.45</v>
      </c>
      <c r="DG38" s="52">
        <v>164.12</v>
      </c>
      <c r="DH38" s="52">
        <v>177.26</v>
      </c>
      <c r="DI38" s="52">
        <v>168.94</v>
      </c>
      <c r="DJ38" s="52">
        <v>160.86000000000001</v>
      </c>
      <c r="EA38" s="52" t="s">
        <v>1206</v>
      </c>
      <c r="EB38" s="52" t="s">
        <v>1451</v>
      </c>
      <c r="EC38" s="90" t="s">
        <v>1414</v>
      </c>
      <c r="EK38" s="52">
        <v>373</v>
      </c>
      <c r="EL38" s="52" t="s">
        <v>201</v>
      </c>
      <c r="EM38" s="52" t="s">
        <v>1417</v>
      </c>
      <c r="EN38" s="91">
        <v>0.01</v>
      </c>
      <c r="EQ38" s="91">
        <v>0.01</v>
      </c>
      <c r="ER38" s="89">
        <v>545867.71</v>
      </c>
      <c r="ES38" s="89">
        <v>5458.6770999999999</v>
      </c>
      <c r="ET38" s="89">
        <v>1132.2900000000373</v>
      </c>
      <c r="EU38" s="89">
        <v>1132.2900000000373</v>
      </c>
    </row>
    <row r="39" spans="1:151" x14ac:dyDescent="0.25">
      <c r="A39" s="52" t="s">
        <v>1632</v>
      </c>
      <c r="D39" s="52">
        <v>214777134</v>
      </c>
      <c r="E39" s="52" t="s">
        <v>1215</v>
      </c>
      <c r="G39" s="52" t="s">
        <v>1251</v>
      </c>
      <c r="H39" s="52">
        <v>91017</v>
      </c>
      <c r="I39" s="52" t="s">
        <v>1254</v>
      </c>
      <c r="J39" s="52" t="s">
        <v>1252</v>
      </c>
      <c r="K39" s="52" t="s">
        <v>1405</v>
      </c>
      <c r="L39" s="52" t="s">
        <v>1633</v>
      </c>
      <c r="M39" s="52" t="s">
        <v>1250</v>
      </c>
      <c r="O39" s="4">
        <v>42012</v>
      </c>
      <c r="P39" s="4">
        <v>42012</v>
      </c>
      <c r="R39" s="52" t="s">
        <v>74</v>
      </c>
      <c r="S39" s="89">
        <v>-245000</v>
      </c>
      <c r="T39" s="89">
        <v>-245000</v>
      </c>
      <c r="W39" s="89">
        <v>-245000</v>
      </c>
      <c r="Y39" s="52">
        <v>1</v>
      </c>
      <c r="Z39" s="52" t="s">
        <v>75</v>
      </c>
      <c r="AE39" s="52" t="s">
        <v>1406</v>
      </c>
      <c r="AF39" s="52">
        <v>6.7793582580052298</v>
      </c>
      <c r="AG39" s="52">
        <v>-6.7795458539912898</v>
      </c>
      <c r="AH39" s="52">
        <v>0</v>
      </c>
      <c r="AI39" s="52">
        <v>0</v>
      </c>
      <c r="AJ39" s="52">
        <v>-0.87315148400375597</v>
      </c>
      <c r="AK39" s="52">
        <v>100</v>
      </c>
      <c r="AL39" s="52" t="s">
        <v>1634</v>
      </c>
      <c r="AO39" s="52" t="s">
        <v>92</v>
      </c>
      <c r="AP39" s="52" t="s">
        <v>93</v>
      </c>
      <c r="AQ39" s="52" t="s">
        <v>1635</v>
      </c>
      <c r="AT39" s="52">
        <v>-21.4026</v>
      </c>
      <c r="AU39" s="52">
        <v>735</v>
      </c>
      <c r="AX39" s="52" t="s">
        <v>76</v>
      </c>
      <c r="AY39" s="52" t="s">
        <v>1636</v>
      </c>
      <c r="BA39" s="52" t="s">
        <v>1253</v>
      </c>
      <c r="BG39" s="52">
        <v>500</v>
      </c>
      <c r="BH39" s="52">
        <v>506</v>
      </c>
      <c r="BI39" s="52" t="s">
        <v>1252</v>
      </c>
      <c r="BJ39" s="52" t="s">
        <v>1405</v>
      </c>
      <c r="BK39" s="52">
        <v>1</v>
      </c>
      <c r="CA39" s="52" t="s">
        <v>1410</v>
      </c>
      <c r="CB39" s="52" t="s">
        <v>1174</v>
      </c>
      <c r="CC39" s="52" t="s">
        <v>1174</v>
      </c>
      <c r="CD39" s="52" t="s">
        <v>1428</v>
      </c>
      <c r="CE39" s="52" t="s">
        <v>1429</v>
      </c>
      <c r="CF39" s="52" t="s">
        <v>1429</v>
      </c>
      <c r="CG39" s="52" t="s">
        <v>1429</v>
      </c>
      <c r="CH39" s="52" t="s">
        <v>1429</v>
      </c>
      <c r="CI39" s="52" t="s">
        <v>1429</v>
      </c>
      <c r="CJ39" s="52" t="s">
        <v>1429</v>
      </c>
      <c r="CK39" s="52" t="s">
        <v>1429</v>
      </c>
      <c r="CL39" s="52" t="s">
        <v>1430</v>
      </c>
      <c r="CM39" s="52" t="s">
        <v>1430</v>
      </c>
      <c r="CN39" s="52" t="s">
        <v>1429</v>
      </c>
      <c r="CO39" s="52" t="s">
        <v>833</v>
      </c>
      <c r="CP39" s="52" t="s">
        <v>1431</v>
      </c>
      <c r="CQ39" s="52" t="s">
        <v>1429</v>
      </c>
      <c r="CR39" s="52" t="s">
        <v>1432</v>
      </c>
      <c r="CS39" s="52" t="s">
        <v>1213</v>
      </c>
      <c r="CT39" s="52" t="s">
        <v>1669</v>
      </c>
      <c r="CU39" s="52" t="s">
        <v>1200</v>
      </c>
      <c r="CV39" s="52" t="s">
        <v>1200</v>
      </c>
      <c r="CW39" s="52" t="s">
        <v>1200</v>
      </c>
      <c r="CX39" s="52" t="s">
        <v>1200</v>
      </c>
      <c r="CY39" s="52" t="s">
        <v>1200</v>
      </c>
      <c r="CZ39" s="52" t="s">
        <v>1200</v>
      </c>
      <c r="DA39" s="52" t="s">
        <v>1200</v>
      </c>
      <c r="DB39" s="52" t="s">
        <v>1200</v>
      </c>
      <c r="DC39" s="52" t="s">
        <v>1200</v>
      </c>
      <c r="DD39" s="52" t="s">
        <v>1200</v>
      </c>
      <c r="DE39" s="52" t="s">
        <v>1200</v>
      </c>
      <c r="DF39" s="52" t="s">
        <v>1200</v>
      </c>
      <c r="DG39" s="52" t="s">
        <v>1200</v>
      </c>
      <c r="DH39" s="52" t="s">
        <v>1200</v>
      </c>
      <c r="DI39" s="52" t="s">
        <v>1200</v>
      </c>
      <c r="DJ39" s="52" t="s">
        <v>1200</v>
      </c>
      <c r="EA39" s="52" t="s">
        <v>1206</v>
      </c>
      <c r="EB39" s="52" t="s">
        <v>1451</v>
      </c>
      <c r="EC39" s="90" t="s">
        <v>1414</v>
      </c>
      <c r="EK39" s="52">
        <v>100</v>
      </c>
      <c r="EL39" s="52" t="s">
        <v>198</v>
      </c>
      <c r="EM39" s="52" t="s">
        <v>1416</v>
      </c>
      <c r="EN39" s="91">
        <v>2.5000000000000001E-3</v>
      </c>
      <c r="EQ39" s="91">
        <v>2.5000000000000001E-3</v>
      </c>
      <c r="ER39" s="89">
        <v>245000</v>
      </c>
      <c r="ES39" s="89">
        <v>612.5</v>
      </c>
      <c r="ET39" s="89">
        <v>0</v>
      </c>
      <c r="EU39" s="89">
        <v>0</v>
      </c>
    </row>
    <row r="40" spans="1:151" x14ac:dyDescent="0.25">
      <c r="A40" s="52" t="s">
        <v>1637</v>
      </c>
      <c r="D40" s="52">
        <v>214777137</v>
      </c>
      <c r="E40" s="52" t="s">
        <v>1215</v>
      </c>
      <c r="G40" s="52" t="s">
        <v>1251</v>
      </c>
      <c r="H40" s="52">
        <v>91017</v>
      </c>
      <c r="I40" s="52" t="s">
        <v>1254</v>
      </c>
      <c r="J40" s="52" t="s">
        <v>1252</v>
      </c>
      <c r="K40" s="52" t="s">
        <v>1405</v>
      </c>
      <c r="L40" s="52" t="s">
        <v>1638</v>
      </c>
      <c r="M40" s="52" t="s">
        <v>1250</v>
      </c>
      <c r="O40" s="4">
        <v>42012</v>
      </c>
      <c r="P40" s="4">
        <v>42012</v>
      </c>
      <c r="R40" s="52" t="s">
        <v>74</v>
      </c>
      <c r="S40" s="89">
        <v>-1337000</v>
      </c>
      <c r="T40" s="89">
        <v>-1337000</v>
      </c>
      <c r="W40" s="89">
        <v>-1336491.94</v>
      </c>
      <c r="Y40" s="52">
        <v>1</v>
      </c>
      <c r="Z40" s="52" t="s">
        <v>75</v>
      </c>
      <c r="AE40" s="52" t="s">
        <v>1406</v>
      </c>
      <c r="AF40" s="52">
        <v>36.981868040049498</v>
      </c>
      <c r="AG40" s="52">
        <v>-36.9828913901001</v>
      </c>
      <c r="AH40" s="52">
        <v>0</v>
      </c>
      <c r="AI40" s="52">
        <v>0</v>
      </c>
      <c r="AJ40" s="52">
        <v>-9.7924702600576001</v>
      </c>
      <c r="AK40" s="52">
        <v>100</v>
      </c>
      <c r="AL40" s="52" t="s">
        <v>1639</v>
      </c>
      <c r="AO40" s="52" t="s">
        <v>92</v>
      </c>
      <c r="AP40" s="52" t="s">
        <v>93</v>
      </c>
      <c r="AQ40" s="52" t="s">
        <v>1640</v>
      </c>
      <c r="AT40" s="52">
        <v>-116.7527</v>
      </c>
      <c r="AU40" s="52">
        <v>4011</v>
      </c>
      <c r="AX40" s="52" t="s">
        <v>76</v>
      </c>
      <c r="AY40" s="52" t="s">
        <v>1641</v>
      </c>
      <c r="BA40" s="52" t="s">
        <v>1253</v>
      </c>
      <c r="BG40" s="52">
        <v>500</v>
      </c>
      <c r="BH40" s="52">
        <v>506</v>
      </c>
      <c r="BI40" s="52" t="s">
        <v>1252</v>
      </c>
      <c r="BJ40" s="52" t="s">
        <v>1405</v>
      </c>
      <c r="BK40" s="52">
        <v>1</v>
      </c>
      <c r="CA40" s="52" t="s">
        <v>1410</v>
      </c>
      <c r="CB40" s="52" t="s">
        <v>1174</v>
      </c>
      <c r="CC40" s="52" t="s">
        <v>1174</v>
      </c>
      <c r="CD40" s="52" t="s">
        <v>1428</v>
      </c>
      <c r="CE40" s="52" t="s">
        <v>1429</v>
      </c>
      <c r="CF40" s="52" t="s">
        <v>1429</v>
      </c>
      <c r="CG40" s="52" t="s">
        <v>1429</v>
      </c>
      <c r="CH40" s="52" t="s">
        <v>1429</v>
      </c>
      <c r="CI40" s="52" t="s">
        <v>1429</v>
      </c>
      <c r="CJ40" s="52" t="s">
        <v>1429</v>
      </c>
      <c r="CK40" s="52" t="s">
        <v>1429</v>
      </c>
      <c r="CL40" s="52" t="s">
        <v>1430</v>
      </c>
      <c r="CM40" s="52" t="s">
        <v>1430</v>
      </c>
      <c r="CN40" s="52" t="s">
        <v>1429</v>
      </c>
      <c r="CO40" s="52" t="s">
        <v>833</v>
      </c>
      <c r="CP40" s="52" t="s">
        <v>1431</v>
      </c>
      <c r="CQ40" s="52" t="s">
        <v>1429</v>
      </c>
      <c r="CR40" s="52" t="s">
        <v>1432</v>
      </c>
      <c r="CS40" s="52" t="s">
        <v>1213</v>
      </c>
      <c r="CT40" s="52" t="s">
        <v>1670</v>
      </c>
      <c r="CU40" s="52" t="s">
        <v>325</v>
      </c>
      <c r="CV40" s="52" t="s">
        <v>1430</v>
      </c>
      <c r="CW40" s="52">
        <v>63599.038000000008</v>
      </c>
      <c r="CX40" s="52">
        <v>520.30700000000002</v>
      </c>
      <c r="CY40" s="52" t="s">
        <v>1430</v>
      </c>
      <c r="CZ40" s="52" t="s">
        <v>1430</v>
      </c>
      <c r="DA40" s="52" t="s">
        <v>1430</v>
      </c>
      <c r="DB40" s="52" t="s">
        <v>1430</v>
      </c>
      <c r="DC40" s="52" t="s">
        <v>1430</v>
      </c>
      <c r="DD40" s="52" t="s">
        <v>1430</v>
      </c>
      <c r="DE40" s="52" t="s">
        <v>1430</v>
      </c>
      <c r="DF40" s="52" t="s">
        <v>1430</v>
      </c>
      <c r="DG40" s="52" t="s">
        <v>1430</v>
      </c>
      <c r="DH40" s="52" t="s">
        <v>1430</v>
      </c>
      <c r="DI40" s="52" t="s">
        <v>1430</v>
      </c>
      <c r="DJ40" s="52" t="s">
        <v>1430</v>
      </c>
      <c r="EA40" s="52" t="s">
        <v>1206</v>
      </c>
      <c r="EB40" s="52" t="s">
        <v>1451</v>
      </c>
      <c r="EC40" s="90" t="s">
        <v>1414</v>
      </c>
      <c r="EK40" s="52">
        <v>100</v>
      </c>
      <c r="EL40" s="52" t="s">
        <v>198</v>
      </c>
      <c r="EM40" s="52" t="s">
        <v>1416</v>
      </c>
      <c r="EN40" s="91">
        <v>2.5000000000000001E-3</v>
      </c>
      <c r="EQ40" s="91">
        <v>2.5000000000000001E-3</v>
      </c>
      <c r="ER40" s="89">
        <v>1336491.94</v>
      </c>
      <c r="ES40" s="89">
        <v>3341.2298499999997</v>
      </c>
      <c r="ET40" s="89">
        <v>508.06000000005588</v>
      </c>
      <c r="EU40" s="89">
        <v>508.06000000005588</v>
      </c>
    </row>
    <row r="41" spans="1:151" x14ac:dyDescent="0.25">
      <c r="A41" s="52" t="s">
        <v>1642</v>
      </c>
      <c r="D41" s="52">
        <v>214777138</v>
      </c>
      <c r="E41" s="52" t="s">
        <v>1215</v>
      </c>
      <c r="G41" s="52" t="s">
        <v>1251</v>
      </c>
      <c r="H41" s="52">
        <v>91017</v>
      </c>
      <c r="I41" s="52" t="s">
        <v>1254</v>
      </c>
      <c r="J41" s="52" t="s">
        <v>1252</v>
      </c>
      <c r="K41" s="52" t="s">
        <v>1405</v>
      </c>
      <c r="L41" s="52" t="s">
        <v>1638</v>
      </c>
      <c r="M41" s="52" t="s">
        <v>1250</v>
      </c>
      <c r="O41" s="4">
        <v>42102</v>
      </c>
      <c r="P41" s="4">
        <v>42102</v>
      </c>
      <c r="R41" s="52" t="s">
        <v>74</v>
      </c>
      <c r="S41" s="89">
        <v>-274000</v>
      </c>
      <c r="T41" s="89">
        <v>-274000</v>
      </c>
      <c r="W41" s="89">
        <v>-273863</v>
      </c>
      <c r="Y41" s="52">
        <v>1</v>
      </c>
      <c r="Z41" s="52" t="s">
        <v>75</v>
      </c>
      <c r="AE41" s="52" t="s">
        <v>1406</v>
      </c>
      <c r="AF41" s="52">
        <v>14.3305381970131</v>
      </c>
      <c r="AG41" s="52">
        <v>-14.3312881169841</v>
      </c>
      <c r="AH41" s="52">
        <v>0</v>
      </c>
      <c r="AI41" s="52">
        <v>0</v>
      </c>
      <c r="AJ41" s="52">
        <v>-1.5742399960290601</v>
      </c>
      <c r="AK41" s="52">
        <v>100</v>
      </c>
      <c r="AL41" s="52" t="s">
        <v>1469</v>
      </c>
      <c r="AO41" s="52" t="s">
        <v>92</v>
      </c>
      <c r="AP41" s="52" t="s">
        <v>93</v>
      </c>
      <c r="AQ41" s="52" t="s">
        <v>1643</v>
      </c>
      <c r="AT41" s="52">
        <v>-112.6913</v>
      </c>
      <c r="AU41" s="52">
        <v>822</v>
      </c>
      <c r="AX41" s="52" t="s">
        <v>76</v>
      </c>
      <c r="AY41" s="52" t="s">
        <v>1644</v>
      </c>
      <c r="BA41" s="52" t="s">
        <v>1253</v>
      </c>
      <c r="BG41" s="52">
        <v>500</v>
      </c>
      <c r="BH41" s="52">
        <v>506</v>
      </c>
      <c r="BI41" s="52" t="s">
        <v>1252</v>
      </c>
      <c r="BJ41" s="52" t="s">
        <v>1405</v>
      </c>
      <c r="BK41" s="52">
        <v>1</v>
      </c>
      <c r="CA41" s="52" t="s">
        <v>1410</v>
      </c>
      <c r="CB41" s="52" t="s">
        <v>1174</v>
      </c>
      <c r="CC41" s="52" t="s">
        <v>1174</v>
      </c>
      <c r="CD41" s="52" t="s">
        <v>1428</v>
      </c>
      <c r="CE41" s="52" t="s">
        <v>1429</v>
      </c>
      <c r="CF41" s="52" t="s">
        <v>1429</v>
      </c>
      <c r="CG41" s="52" t="s">
        <v>1429</v>
      </c>
      <c r="CH41" s="52" t="s">
        <v>1429</v>
      </c>
      <c r="CI41" s="52" t="s">
        <v>1429</v>
      </c>
      <c r="CJ41" s="52" t="s">
        <v>1429</v>
      </c>
      <c r="CK41" s="52" t="s">
        <v>1429</v>
      </c>
      <c r="CL41" s="52" t="s">
        <v>1430</v>
      </c>
      <c r="CM41" s="52" t="s">
        <v>1430</v>
      </c>
      <c r="CN41" s="52" t="s">
        <v>1429</v>
      </c>
      <c r="CO41" s="52" t="s">
        <v>833</v>
      </c>
      <c r="CP41" s="52" t="s">
        <v>1431</v>
      </c>
      <c r="CQ41" s="52" t="s">
        <v>1429</v>
      </c>
      <c r="CR41" s="52" t="s">
        <v>1432</v>
      </c>
      <c r="CS41" s="52" t="s">
        <v>1213</v>
      </c>
      <c r="CT41" s="52" t="s">
        <v>1670</v>
      </c>
      <c r="CU41" s="52" t="s">
        <v>325</v>
      </c>
      <c r="CV41" s="52" t="s">
        <v>1430</v>
      </c>
      <c r="CW41" s="52">
        <v>63599.038000000008</v>
      </c>
      <c r="CX41" s="52">
        <v>520.30700000000002</v>
      </c>
      <c r="CY41" s="52" t="s">
        <v>1430</v>
      </c>
      <c r="CZ41" s="52" t="s">
        <v>1430</v>
      </c>
      <c r="DA41" s="52" t="s">
        <v>1430</v>
      </c>
      <c r="DB41" s="52" t="s">
        <v>1430</v>
      </c>
      <c r="DC41" s="52" t="s">
        <v>1430</v>
      </c>
      <c r="DD41" s="52" t="s">
        <v>1430</v>
      </c>
      <c r="DE41" s="52" t="s">
        <v>1430</v>
      </c>
      <c r="DF41" s="52" t="s">
        <v>1430</v>
      </c>
      <c r="DG41" s="52" t="s">
        <v>1430</v>
      </c>
      <c r="DH41" s="52" t="s">
        <v>1430</v>
      </c>
      <c r="DI41" s="52" t="s">
        <v>1430</v>
      </c>
      <c r="DJ41" s="52" t="s">
        <v>1430</v>
      </c>
      <c r="EA41" s="52" t="s">
        <v>1206</v>
      </c>
      <c r="EB41" s="52" t="s">
        <v>1451</v>
      </c>
      <c r="EC41" s="90" t="s">
        <v>1414</v>
      </c>
      <c r="EK41" s="52">
        <v>190</v>
      </c>
      <c r="EL41" s="52" t="s">
        <v>201</v>
      </c>
      <c r="EM41" s="52" t="s">
        <v>1417</v>
      </c>
      <c r="EN41" s="91">
        <v>0.01</v>
      </c>
      <c r="EQ41" s="91">
        <v>0.01</v>
      </c>
      <c r="ER41" s="89">
        <v>273863</v>
      </c>
      <c r="ES41" s="89">
        <v>2738.63</v>
      </c>
      <c r="ET41" s="89">
        <v>137</v>
      </c>
      <c r="EU41" s="89">
        <v>137</v>
      </c>
    </row>
    <row r="42" spans="1:151" x14ac:dyDescent="0.25">
      <c r="A42" s="52" t="s">
        <v>1645</v>
      </c>
      <c r="D42" s="52">
        <v>214777139</v>
      </c>
      <c r="E42" s="52" t="s">
        <v>1215</v>
      </c>
      <c r="G42" s="52" t="s">
        <v>1251</v>
      </c>
      <c r="H42" s="52">
        <v>91017</v>
      </c>
      <c r="I42" s="52" t="s">
        <v>1254</v>
      </c>
      <c r="J42" s="52" t="s">
        <v>1252</v>
      </c>
      <c r="K42" s="52" t="s">
        <v>1405</v>
      </c>
      <c r="L42" s="52" t="s">
        <v>1584</v>
      </c>
      <c r="M42" s="52" t="s">
        <v>1250</v>
      </c>
      <c r="O42" s="4">
        <v>42018</v>
      </c>
      <c r="P42" s="4">
        <v>42018</v>
      </c>
      <c r="R42" s="52" t="s">
        <v>74</v>
      </c>
      <c r="S42" s="89">
        <v>-250000</v>
      </c>
      <c r="T42" s="89">
        <v>-250000</v>
      </c>
      <c r="W42" s="89">
        <v>-249937.5</v>
      </c>
      <c r="Y42" s="52">
        <v>1</v>
      </c>
      <c r="Z42" s="52" t="s">
        <v>75</v>
      </c>
      <c r="AE42" s="52" t="s">
        <v>1406</v>
      </c>
      <c r="AF42" s="52">
        <v>7.3268275379960004</v>
      </c>
      <c r="AG42" s="52">
        <v>-7.3270423270005303</v>
      </c>
      <c r="AH42" s="52">
        <v>0</v>
      </c>
      <c r="AI42" s="52">
        <v>0</v>
      </c>
      <c r="AJ42" s="52">
        <v>-1.57554945800803</v>
      </c>
      <c r="AK42" s="52">
        <v>100</v>
      </c>
      <c r="AL42" s="52" t="s">
        <v>1598</v>
      </c>
      <c r="AO42" s="52" t="s">
        <v>92</v>
      </c>
      <c r="AP42" s="52" t="s">
        <v>93</v>
      </c>
      <c r="AQ42" s="52" t="s">
        <v>1646</v>
      </c>
      <c r="AT42" s="52">
        <v>-26.041899999999998</v>
      </c>
      <c r="AU42" s="52">
        <v>750</v>
      </c>
      <c r="AX42" s="52" t="s">
        <v>76</v>
      </c>
      <c r="AY42" s="52" t="s">
        <v>1647</v>
      </c>
      <c r="BA42" s="52" t="s">
        <v>1253</v>
      </c>
      <c r="BG42" s="52">
        <v>500</v>
      </c>
      <c r="BH42" s="52">
        <v>506</v>
      </c>
      <c r="BI42" s="52" t="s">
        <v>1252</v>
      </c>
      <c r="BJ42" s="52" t="s">
        <v>1405</v>
      </c>
      <c r="BK42" s="52">
        <v>1</v>
      </c>
      <c r="CA42" s="52" t="s">
        <v>1410</v>
      </c>
      <c r="CB42" s="52" t="s">
        <v>1174</v>
      </c>
      <c r="CC42" s="52" t="s">
        <v>1174</v>
      </c>
      <c r="CD42" s="52" t="s">
        <v>1428</v>
      </c>
      <c r="CE42" s="52" t="s">
        <v>1429</v>
      </c>
      <c r="CF42" s="52" t="s">
        <v>1429</v>
      </c>
      <c r="CG42" s="52" t="s">
        <v>1429</v>
      </c>
      <c r="CH42" s="52" t="s">
        <v>1429</v>
      </c>
      <c r="CI42" s="52" t="s">
        <v>1429</v>
      </c>
      <c r="CJ42" s="52" t="s">
        <v>1429</v>
      </c>
      <c r="CK42" s="52" t="s">
        <v>1429</v>
      </c>
      <c r="CL42" s="52" t="s">
        <v>1430</v>
      </c>
      <c r="CM42" s="52" t="s">
        <v>1430</v>
      </c>
      <c r="CN42" s="52" t="s">
        <v>1429</v>
      </c>
      <c r="CO42" s="52" t="s">
        <v>601</v>
      </c>
      <c r="CP42" s="52" t="s">
        <v>1431</v>
      </c>
      <c r="CQ42" s="52" t="s">
        <v>1429</v>
      </c>
      <c r="CR42" s="52" t="s">
        <v>1432</v>
      </c>
      <c r="CS42" s="52" t="s">
        <v>1213</v>
      </c>
      <c r="CT42" s="52" t="s">
        <v>1666</v>
      </c>
      <c r="CU42" s="52" t="s">
        <v>1200</v>
      </c>
      <c r="CV42" s="52" t="s">
        <v>1200</v>
      </c>
      <c r="CW42" s="52" t="s">
        <v>1200</v>
      </c>
      <c r="CX42" s="52" t="s">
        <v>1200</v>
      </c>
      <c r="CY42" s="52" t="s">
        <v>1200</v>
      </c>
      <c r="CZ42" s="52" t="s">
        <v>1200</v>
      </c>
      <c r="DA42" s="52" t="s">
        <v>1200</v>
      </c>
      <c r="DB42" s="52" t="s">
        <v>1200</v>
      </c>
      <c r="DC42" s="52" t="s">
        <v>1200</v>
      </c>
      <c r="DD42" s="52" t="s">
        <v>1200</v>
      </c>
      <c r="DE42" s="52" t="s">
        <v>1200</v>
      </c>
      <c r="DF42" s="52" t="s">
        <v>1200</v>
      </c>
      <c r="DG42" s="52" t="s">
        <v>1200</v>
      </c>
      <c r="DH42" s="52" t="s">
        <v>1200</v>
      </c>
      <c r="DI42" s="52" t="s">
        <v>1200</v>
      </c>
      <c r="DJ42" s="52" t="s">
        <v>1200</v>
      </c>
      <c r="EA42" s="52" t="s">
        <v>1206</v>
      </c>
      <c r="EB42" s="52" t="s">
        <v>1451</v>
      </c>
      <c r="EC42" s="90">
        <v>3</v>
      </c>
      <c r="EK42" s="52">
        <v>106</v>
      </c>
      <c r="EL42" s="52" t="s">
        <v>198</v>
      </c>
      <c r="EM42" s="52" t="s">
        <v>237</v>
      </c>
      <c r="EN42" s="91">
        <v>0.08</v>
      </c>
      <c r="EQ42" s="91">
        <v>0.08</v>
      </c>
      <c r="ER42" s="89">
        <v>249937.5</v>
      </c>
      <c r="ES42" s="89">
        <v>19995</v>
      </c>
      <c r="ET42" s="89">
        <v>62.5</v>
      </c>
      <c r="EU42" s="89">
        <v>62.5</v>
      </c>
    </row>
    <row r="43" spans="1:151" x14ac:dyDescent="0.25">
      <c r="A43" s="52" t="s">
        <v>1648</v>
      </c>
      <c r="D43" s="52">
        <v>214777140</v>
      </c>
      <c r="E43" s="52" t="s">
        <v>1215</v>
      </c>
      <c r="G43" s="52" t="s">
        <v>1251</v>
      </c>
      <c r="H43" s="52">
        <v>91017</v>
      </c>
      <c r="I43" s="52" t="s">
        <v>1254</v>
      </c>
      <c r="J43" s="52" t="s">
        <v>1252</v>
      </c>
      <c r="K43" s="52" t="s">
        <v>1405</v>
      </c>
      <c r="L43" s="52" t="s">
        <v>1584</v>
      </c>
      <c r="M43" s="52" t="s">
        <v>1250</v>
      </c>
      <c r="O43" s="4">
        <v>42018</v>
      </c>
      <c r="P43" s="4">
        <v>42018</v>
      </c>
      <c r="R43" s="52" t="s">
        <v>74</v>
      </c>
      <c r="S43" s="89">
        <v>-755000</v>
      </c>
      <c r="T43" s="89">
        <v>-755000</v>
      </c>
      <c r="W43" s="89">
        <v>-754901.85</v>
      </c>
      <c r="Y43" s="52">
        <v>1</v>
      </c>
      <c r="Z43" s="52" t="s">
        <v>75</v>
      </c>
      <c r="AE43" s="52" t="s">
        <v>1406</v>
      </c>
      <c r="AF43" s="52">
        <v>22.129675069940301</v>
      </c>
      <c r="AG43" s="52">
        <v>-22.130323813063999</v>
      </c>
      <c r="AH43" s="52">
        <v>0</v>
      </c>
      <c r="AI43" s="52">
        <v>0</v>
      </c>
      <c r="AJ43" s="52">
        <v>-4.8074008220573896</v>
      </c>
      <c r="AK43" s="52">
        <v>100</v>
      </c>
      <c r="AL43" s="52" t="s">
        <v>1649</v>
      </c>
      <c r="AO43" s="52" t="s">
        <v>92</v>
      </c>
      <c r="AP43" s="52" t="s">
        <v>93</v>
      </c>
      <c r="AQ43" s="52" t="s">
        <v>1650</v>
      </c>
      <c r="AT43" s="52">
        <v>-78.656099999999995</v>
      </c>
      <c r="AU43" s="52">
        <v>2265</v>
      </c>
      <c r="AX43" s="52" t="s">
        <v>76</v>
      </c>
      <c r="AY43" s="52" t="s">
        <v>1651</v>
      </c>
      <c r="BA43" s="52" t="s">
        <v>1253</v>
      </c>
      <c r="BG43" s="52">
        <v>500</v>
      </c>
      <c r="BH43" s="52">
        <v>506</v>
      </c>
      <c r="BI43" s="52" t="s">
        <v>1252</v>
      </c>
      <c r="BJ43" s="52" t="s">
        <v>1405</v>
      </c>
      <c r="BK43" s="52">
        <v>1</v>
      </c>
      <c r="CA43" s="52" t="s">
        <v>1410</v>
      </c>
      <c r="CB43" s="52" t="s">
        <v>1174</v>
      </c>
      <c r="CC43" s="52" t="s">
        <v>1174</v>
      </c>
      <c r="CD43" s="52" t="s">
        <v>1428</v>
      </c>
      <c r="CE43" s="52" t="s">
        <v>1429</v>
      </c>
      <c r="CF43" s="52" t="s">
        <v>1429</v>
      </c>
      <c r="CG43" s="52" t="s">
        <v>1429</v>
      </c>
      <c r="CH43" s="52" t="s">
        <v>1429</v>
      </c>
      <c r="CI43" s="52" t="s">
        <v>1429</v>
      </c>
      <c r="CJ43" s="52" t="s">
        <v>1429</v>
      </c>
      <c r="CK43" s="52" t="s">
        <v>1429</v>
      </c>
      <c r="CL43" s="52" t="s">
        <v>1430</v>
      </c>
      <c r="CM43" s="52" t="s">
        <v>1430</v>
      </c>
      <c r="CN43" s="52" t="s">
        <v>1429</v>
      </c>
      <c r="CO43" s="52" t="s">
        <v>601</v>
      </c>
      <c r="CP43" s="52" t="s">
        <v>1431</v>
      </c>
      <c r="CQ43" s="52" t="s">
        <v>1429</v>
      </c>
      <c r="CR43" s="52" t="s">
        <v>1432</v>
      </c>
      <c r="CS43" s="52" t="s">
        <v>1213</v>
      </c>
      <c r="CT43" s="52" t="s">
        <v>1666</v>
      </c>
      <c r="CU43" s="52" t="s">
        <v>1200</v>
      </c>
      <c r="CV43" s="52" t="s">
        <v>1200</v>
      </c>
      <c r="CW43" s="52" t="s">
        <v>1200</v>
      </c>
      <c r="CX43" s="52" t="s">
        <v>1200</v>
      </c>
      <c r="CY43" s="52" t="s">
        <v>1200</v>
      </c>
      <c r="CZ43" s="52" t="s">
        <v>1200</v>
      </c>
      <c r="DA43" s="52" t="s">
        <v>1200</v>
      </c>
      <c r="DB43" s="52" t="s">
        <v>1200</v>
      </c>
      <c r="DC43" s="52" t="s">
        <v>1200</v>
      </c>
      <c r="DD43" s="52" t="s">
        <v>1200</v>
      </c>
      <c r="DE43" s="52" t="s">
        <v>1200</v>
      </c>
      <c r="DF43" s="52" t="s">
        <v>1200</v>
      </c>
      <c r="DG43" s="52" t="s">
        <v>1200</v>
      </c>
      <c r="DH43" s="52" t="s">
        <v>1200</v>
      </c>
      <c r="DI43" s="52" t="s">
        <v>1200</v>
      </c>
      <c r="DJ43" s="52" t="s">
        <v>1200</v>
      </c>
      <c r="EA43" s="52" t="s">
        <v>1206</v>
      </c>
      <c r="EB43" s="52" t="s">
        <v>1451</v>
      </c>
      <c r="EC43" s="90">
        <v>3</v>
      </c>
      <c r="EK43" s="52">
        <v>106</v>
      </c>
      <c r="EL43" s="52" t="s">
        <v>198</v>
      </c>
      <c r="EM43" s="52" t="s">
        <v>237</v>
      </c>
      <c r="EN43" s="91">
        <v>0.08</v>
      </c>
      <c r="EQ43" s="91">
        <v>0.08</v>
      </c>
      <c r="ER43" s="89">
        <v>754901.85</v>
      </c>
      <c r="ES43" s="89">
        <v>60392.148000000001</v>
      </c>
      <c r="ET43" s="89">
        <v>98.150000000023283</v>
      </c>
      <c r="EU43" s="89">
        <v>98.150000000023283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
  <sheetViews>
    <sheetView workbookViewId="0"/>
  </sheetViews>
  <sheetFormatPr defaultRowHeight="15" x14ac:dyDescent="0.25"/>
  <cols>
    <col min="1" max="2" width="17.42578125" style="90" bestFit="1" customWidth="1"/>
    <col min="3" max="3" width="12.85546875" style="90" bestFit="1" customWidth="1"/>
    <col min="4" max="4" width="17.85546875" style="90" bestFit="1" customWidth="1"/>
    <col min="5" max="5" width="11.42578125" style="95" bestFit="1" customWidth="1"/>
  </cols>
  <sheetData>
    <row r="1" spans="1:5" s="92" customFormat="1" x14ac:dyDescent="0.25">
      <c r="A1" s="93" t="s">
        <v>1452</v>
      </c>
      <c r="B1" s="93" t="s">
        <v>1453</v>
      </c>
      <c r="C1" s="93" t="s">
        <v>1454</v>
      </c>
      <c r="D1" s="93" t="s">
        <v>1455</v>
      </c>
      <c r="E1" s="94" t="s">
        <v>892</v>
      </c>
    </row>
    <row r="2" spans="1:5" x14ac:dyDescent="0.25">
      <c r="A2" s="90" t="s">
        <v>499</v>
      </c>
      <c r="B2" s="90" t="s">
        <v>500</v>
      </c>
      <c r="C2" s="90" t="s">
        <v>931</v>
      </c>
      <c r="D2" s="90">
        <v>2</v>
      </c>
    </row>
    <row r="3" spans="1:5" x14ac:dyDescent="0.25">
      <c r="A3" s="90" t="s">
        <v>601</v>
      </c>
      <c r="B3" s="90" t="s">
        <v>602</v>
      </c>
      <c r="C3" s="90" t="s">
        <v>976</v>
      </c>
      <c r="D3" s="90">
        <v>3</v>
      </c>
    </row>
    <row r="4" spans="1:5" x14ac:dyDescent="0.25">
      <c r="A4" s="90" t="s">
        <v>833</v>
      </c>
      <c r="B4" s="90" t="s">
        <v>834</v>
      </c>
      <c r="C4" s="90" t="s">
        <v>1085</v>
      </c>
      <c r="D4" s="90" t="s">
        <v>1414</v>
      </c>
    </row>
  </sheetData>
  <sortState ref="A2:E4">
    <sortCondition ref="C1:C1048576"/>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Button</vt:lpstr>
      <vt:lpstr>Summary</vt:lpstr>
      <vt:lpstr>Tally Report</vt:lpstr>
      <vt:lpstr>Business Rules</vt:lpstr>
      <vt:lpstr>Instrument Type Exclusion Table</vt:lpstr>
      <vt:lpstr>De Minimis Exclusion Table</vt:lpstr>
      <vt:lpstr>Risk Weighting Factor Table</vt:lpstr>
      <vt:lpstr>OECD CRC Rating Table</vt:lpstr>
      <vt:lpstr>GSE Issuer Table</vt:lpstr>
      <vt:lpstr>Bank Issuer Override Table</vt:lpstr>
      <vt:lpstr>Time to Maturity Table</vt:lpstr>
      <vt:lpstr>Market Status Table</vt:lpstr>
      <vt:lpstr>EBITDA-To-Asset Ratio Table</vt:lpstr>
      <vt:lpstr>Stock Volatility Table</vt:lpstr>
      <vt:lpstr>Credit Rating Table</vt:lpstr>
      <vt:lpstr>Month-End Market Holiday Table</vt:lpstr>
      <vt:lpstr>RAT Pershing Original</vt:lpstr>
      <vt:lpstr>RAT Pershing with BBG Formula</vt:lpstr>
      <vt:lpstr>RAT Pershing w BBG Data Values</vt:lpstr>
      <vt:lpstr>Countries of Origin of this RAT</vt:lpstr>
      <vt:lpstr>Possible GSE Issuer as Type I</vt:lpstr>
      <vt:lpstr>Financial Classified as Type VI</vt:lpstr>
      <vt:lpstr>'RAT Pershing Original'!RAT_Pershing_REG20140930</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Tsoi, King</cp:lastModifiedBy>
  <cp:lastPrinted>2013-10-01T20:25:22Z</cp:lastPrinted>
  <dcterms:created xsi:type="dcterms:W3CDTF">2006-09-16T00:00:00Z</dcterms:created>
  <dcterms:modified xsi:type="dcterms:W3CDTF">2014-10-03T23:03:30Z</dcterms:modified>
</cp:coreProperties>
</file>